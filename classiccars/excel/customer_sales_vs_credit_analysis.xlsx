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Job\Data Projects\Classic_Models\"/>
    </mc:Choice>
  </mc:AlternateContent>
  <xr:revisionPtr revIDLastSave="0" documentId="8_{CD7BB4A0-60FF-4FE6-9607-E681A6F32714}" xr6:coauthVersionLast="47" xr6:coauthVersionMax="47" xr10:uidLastSave="{00000000-0000-0000-0000-000000000000}"/>
  <bookViews>
    <workbookView xWindow="-120" yWindow="-120" windowWidth="29040" windowHeight="15720" activeTab="3" xr2:uid="{CBE47A9C-3936-4A69-B926-707426FD1500}"/>
  </bookViews>
  <sheets>
    <sheet name="total_revenue_bycountry" sheetId="4" r:id="rId1"/>
    <sheet name="customer_credit_vs_sales" sheetId="2" r:id="rId2"/>
    <sheet name="Pivot Tables" sheetId="1" r:id="rId3"/>
    <sheet name="Charts" sheetId="6" r:id="rId4"/>
  </sheets>
  <calcPr calcId="191029"/>
  <pivotCaches>
    <pivotCache cacheId="19" r:id="rId5"/>
    <pivotCache cacheId="3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" i="6" l="1"/>
  <c r="Y13" i="6"/>
  <c r="Y12" i="6"/>
  <c r="Y11" i="6"/>
  <c r="Y10" i="6"/>
  <c r="Y9" i="6"/>
  <c r="Y8" i="6"/>
  <c r="Y7" i="6"/>
  <c r="Y6" i="6"/>
  <c r="Y5" i="6"/>
  <c r="X14" i="6"/>
  <c r="X13" i="6"/>
  <c r="X12" i="6"/>
  <c r="X11" i="6"/>
  <c r="X10" i="6"/>
  <c r="X9" i="6"/>
  <c r="X8" i="6"/>
  <c r="X7" i="6"/>
  <c r="X6" i="6"/>
  <c r="X5" i="6"/>
  <c r="W14" i="6"/>
  <c r="W13" i="6"/>
  <c r="W12" i="6"/>
  <c r="W11" i="6"/>
  <c r="W10" i="6"/>
  <c r="W9" i="6"/>
  <c r="W8" i="6"/>
  <c r="W7" i="6"/>
  <c r="W6" i="6"/>
  <c r="W5" i="6"/>
</calcChain>
</file>

<file path=xl/sharedStrings.xml><?xml version="1.0" encoding="utf-8"?>
<sst xmlns="http://schemas.openxmlformats.org/spreadsheetml/2006/main" count="1432" uniqueCount="245">
  <si>
    <t>customername</t>
  </si>
  <si>
    <t>country</t>
  </si>
  <si>
    <t>total_revenue</t>
  </si>
  <si>
    <t>creditlimit</t>
  </si>
  <si>
    <t>Euro+ Shopping Channel</t>
  </si>
  <si>
    <t>Spain</t>
  </si>
  <si>
    <t>greater than 125k</t>
  </si>
  <si>
    <t>Mini Gifts Distributors Ltd.</t>
  </si>
  <si>
    <t>USA</t>
  </si>
  <si>
    <t>Vida Sport, Ltd</t>
  </si>
  <si>
    <t>Switzerland</t>
  </si>
  <si>
    <t>Muscle Machine Inc</t>
  </si>
  <si>
    <t>AV Stores, Co.</t>
  </si>
  <si>
    <t>UK</t>
  </si>
  <si>
    <t>Saveley &amp; Henriot, Co.</t>
  </si>
  <si>
    <t>France</t>
  </si>
  <si>
    <t>100k - 125k</t>
  </si>
  <si>
    <t>Marta's Replicas Co.</t>
  </si>
  <si>
    <t>L'ordine Souveniers</t>
  </si>
  <si>
    <t>Italy</t>
  </si>
  <si>
    <t>Heintze Collectables</t>
  </si>
  <si>
    <t>Denmark</t>
  </si>
  <si>
    <t>Toms Spezialit ten, Ltd</t>
  </si>
  <si>
    <t>Germany</t>
  </si>
  <si>
    <t>Rovelli Gifts</t>
  </si>
  <si>
    <t>La Rochelle Gifts</t>
  </si>
  <si>
    <t>Australian Collectors, Co.</t>
  </si>
  <si>
    <t>Australia</t>
  </si>
  <si>
    <t>Scandinavian Gift Ideas</t>
  </si>
  <si>
    <t>Sweden</t>
  </si>
  <si>
    <t>Land of Toys Inc.</t>
  </si>
  <si>
    <t>Online Diecast Creations Co.</t>
  </si>
  <si>
    <t>Amica Models &amp; Co.</t>
  </si>
  <si>
    <t>Kelly's Gift Shop</t>
  </si>
  <si>
    <t>New Zealand</t>
  </si>
  <si>
    <t>Anna's Decorations, Ltd</t>
  </si>
  <si>
    <t>Collectable Mini Designs Co.</t>
  </si>
  <si>
    <t>Corporate Gift Ideas Co.</t>
  </si>
  <si>
    <t>Corrida Auto Replicas, Ltd</t>
  </si>
  <si>
    <t>Dragon Souveniers, Ltd.</t>
  </si>
  <si>
    <t>Singapore</t>
  </si>
  <si>
    <t>Mini Classics</t>
  </si>
  <si>
    <t>Diecast Classics Inc.</t>
  </si>
  <si>
    <t>Suominen Souveniers</t>
  </si>
  <si>
    <t>Finland</t>
  </si>
  <si>
    <t>75k - 100k</t>
  </si>
  <si>
    <t>Handji Gifts&amp; Co</t>
  </si>
  <si>
    <t>Herkku Gifts</t>
  </si>
  <si>
    <t xml:space="preserve">Norway  </t>
  </si>
  <si>
    <t>Toys of Finland, Co.</t>
  </si>
  <si>
    <t>Super Scale Inc.</t>
  </si>
  <si>
    <t>Norway Gifts By Mail, Co.</t>
  </si>
  <si>
    <t>Auto Canal+ Petit</t>
  </si>
  <si>
    <t>Mini Creations Ltd.</t>
  </si>
  <si>
    <t>Tokyo Collectables, Ltd</t>
  </si>
  <si>
    <t>Japan</t>
  </si>
  <si>
    <t>giftsbymail.co.uk</t>
  </si>
  <si>
    <t>Souveniers And Things Co.</t>
  </si>
  <si>
    <t>UK Collectables, Ltd.</t>
  </si>
  <si>
    <t>Toys4GrownUps.com</t>
  </si>
  <si>
    <t>Oulu Toy Supplies, Inc.</t>
  </si>
  <si>
    <t>Canadian Gift Exchange Network</t>
  </si>
  <si>
    <t>Canada</t>
  </si>
  <si>
    <t>Royal Canadian Collectables, Ltd.</t>
  </si>
  <si>
    <t>Down Under Souveniers, Inc</t>
  </si>
  <si>
    <t>Extreme Desk Decorations, Ltd</t>
  </si>
  <si>
    <t>FunGiftIdeas.com</t>
  </si>
  <si>
    <t>Diecast Collectables</t>
  </si>
  <si>
    <t>Technics Stores Inc.</t>
  </si>
  <si>
    <t>La Corne D'abondance, Co.</t>
  </si>
  <si>
    <t>Gift Depot Inc.</t>
  </si>
  <si>
    <t>Danish Wholesale Imports</t>
  </si>
  <si>
    <t>Daedalus Designs Imports</t>
  </si>
  <si>
    <t>Baane Mini Imports</t>
  </si>
  <si>
    <t>Norway</t>
  </si>
  <si>
    <t>Cruz &amp; Sons Co.</t>
  </si>
  <si>
    <t>Philippines</t>
  </si>
  <si>
    <t>Reims Collectables</t>
  </si>
  <si>
    <t>Classic Gift Ideas, Inc</t>
  </si>
  <si>
    <t>Petit Auto</t>
  </si>
  <si>
    <t>Belgium</t>
  </si>
  <si>
    <t>Auto Associ s &amp; Cie.</t>
  </si>
  <si>
    <t>GiftsForHim.com</t>
  </si>
  <si>
    <t>The Sharp Gifts Warehouse</t>
  </si>
  <si>
    <t>Bavarian Collectables Imports, Co.</t>
  </si>
  <si>
    <t>Stylish Desk Decors, Co.</t>
  </si>
  <si>
    <t>Vitachrome Inc.</t>
  </si>
  <si>
    <t>Motor Mint Distributors Inc.</t>
  </si>
  <si>
    <t>50k - 75k</t>
  </si>
  <si>
    <t>Signal Gift Stores</t>
  </si>
  <si>
    <t>Salzburg Collectables</t>
  </si>
  <si>
    <t>Austria</t>
  </si>
  <si>
    <t>Collectables For Less Inc.</t>
  </si>
  <si>
    <t>Clover Collections, Co.</t>
  </si>
  <si>
    <t>Ireland</t>
  </si>
  <si>
    <t>Online Mini Collectables</t>
  </si>
  <si>
    <t>Lyon Souveniers</t>
  </si>
  <si>
    <t>Classic Legends Inc.</t>
  </si>
  <si>
    <t>Iberia Gift Imports, Corp.</t>
  </si>
  <si>
    <t>Marseille Mini Autos</t>
  </si>
  <si>
    <t>Mini Wheels Co.</t>
  </si>
  <si>
    <t>Alpha Cognac</t>
  </si>
  <si>
    <t>Enaco Distributors</t>
  </si>
  <si>
    <t>Signal Collectibles Ltd.</t>
  </si>
  <si>
    <t>Australian Collectables, Ltd</t>
  </si>
  <si>
    <t>Blauer See Auto, Co.</t>
  </si>
  <si>
    <t>CAF Imports</t>
  </si>
  <si>
    <t>King Kong Collectables, Co.</t>
  </si>
  <si>
    <t>Hong Kong</t>
  </si>
  <si>
    <t>Men 'R' US Retailers, Ltd.</t>
  </si>
  <si>
    <t>West Coast Collectables Co.</t>
  </si>
  <si>
    <t>Mini Caravy</t>
  </si>
  <si>
    <t>Volvo Model Replicas, Co</t>
  </si>
  <si>
    <t>Australian Gift Network, Co</t>
  </si>
  <si>
    <t>Gift Ideas Corp.</t>
  </si>
  <si>
    <t>Qu bec Home Shopping Network</t>
  </si>
  <si>
    <t>Mini Auto Werke</t>
  </si>
  <si>
    <t>Cambridge Collectables Co.</t>
  </si>
  <si>
    <t>Double Decker Gift Stores, Ltd</t>
  </si>
  <si>
    <t>Tekni Collectables Inc.</t>
  </si>
  <si>
    <t>Gifts4AllAges.com</t>
  </si>
  <si>
    <t>Microscale Inc.</t>
  </si>
  <si>
    <t>Frau da Collezione</t>
  </si>
  <si>
    <t>Royale Belge</t>
  </si>
  <si>
    <t>Auto-Moto Classics Inc.</t>
  </si>
  <si>
    <t>Atelier graphique</t>
  </si>
  <si>
    <t>Boards &amp; Toys Co.</t>
  </si>
  <si>
    <t>Osaka Souveniers Co.</t>
  </si>
  <si>
    <t>contactname</t>
  </si>
  <si>
    <t>ordernumber</t>
  </si>
  <si>
    <t>total_items</t>
  </si>
  <si>
    <t>Eric Natividad</t>
  </si>
  <si>
    <t>Mihael Holz</t>
  </si>
  <si>
    <t>Henriette  Pfalzheim</t>
  </si>
  <si>
    <t>Diego  Freyre</t>
  </si>
  <si>
    <t>Valarie Franco</t>
  </si>
  <si>
    <t>Jeff Young</t>
  </si>
  <si>
    <t>Mart n  Sommer</t>
  </si>
  <si>
    <t>Valarie Thompson</t>
  </si>
  <si>
    <t>Susan Nelson</t>
  </si>
  <si>
    <t>Dorothy Young</t>
  </si>
  <si>
    <t>Veysel Oeztan</t>
  </si>
  <si>
    <t>Julie Brown</t>
  </si>
  <si>
    <t>Jytte  Petersen</t>
  </si>
  <si>
    <t>Palle Ibsen</t>
  </si>
  <si>
    <t>Daniel  Tonini</t>
  </si>
  <si>
    <t>Rachel Ashworth</t>
  </si>
  <si>
    <t>Wing Huang</t>
  </si>
  <si>
    <t>Georg  Pipps</t>
  </si>
  <si>
    <t>Sue Frick</t>
  </si>
  <si>
    <t>Tony Snowden</t>
  </si>
  <si>
    <t>Giovanni  Rovelli</t>
  </si>
  <si>
    <t>Maurizio  Moroni</t>
  </si>
  <si>
    <t>Marie Bertrand</t>
  </si>
  <si>
    <t>Miguel Barajas</t>
  </si>
  <si>
    <t>Arnold Cruz</t>
  </si>
  <si>
    <t>Laurence  Lebihan</t>
  </si>
  <si>
    <t>Juri Yoshido</t>
  </si>
  <si>
    <t>Juri Hashimoto</t>
  </si>
  <si>
    <t>Julie Young</t>
  </si>
  <si>
    <t>Jonas  Bergulfsen</t>
  </si>
  <si>
    <t>Kwai Lee</t>
  </si>
  <si>
    <t>Mary  Saveley</t>
  </si>
  <si>
    <t>Janine  Labrune</t>
  </si>
  <si>
    <t>Dominique Perrier</t>
  </si>
  <si>
    <t>Akiko Shimamura</t>
  </si>
  <si>
    <t>Martha Larsson</t>
  </si>
  <si>
    <t>Violeta Benitez</t>
  </si>
  <si>
    <t>Paolo  Accorti</t>
  </si>
  <si>
    <t>Jos  Pedro  Roel</t>
  </si>
  <si>
    <t>Marta Hernandez</t>
  </si>
  <si>
    <t>Mory Kentary</t>
  </si>
  <si>
    <t>Helen  Bennett</t>
  </si>
  <si>
    <t>Pirkko Koskitalo</t>
  </si>
  <si>
    <t>Paul  Henriot</t>
  </si>
  <si>
    <t>Rosa Salazar</t>
  </si>
  <si>
    <t>Peter Ferguson</t>
  </si>
  <si>
    <t>Kalle Suominen</t>
  </si>
  <si>
    <t>Elizabeth Devon</t>
  </si>
  <si>
    <t>Catherine  Dewey</t>
  </si>
  <si>
    <t>Michael Frick</t>
  </si>
  <si>
    <t>Wendy Victorino</t>
  </si>
  <si>
    <t>William Brown</t>
  </si>
  <si>
    <t xml:space="preserve">Martine  Ranc </t>
  </si>
  <si>
    <t>Steve Frick</t>
  </si>
  <si>
    <t>Adrian Huxley</t>
  </si>
  <si>
    <t>Julie King</t>
  </si>
  <si>
    <t>Anna O'Hara</t>
  </si>
  <si>
    <t>Mike Graham</t>
  </si>
  <si>
    <t>Eduardo  Saavedra</t>
  </si>
  <si>
    <t>Kelvin Leong</t>
  </si>
  <si>
    <t>Leslie Murphy</t>
  </si>
  <si>
    <t>Wales MacKinlay</t>
  </si>
  <si>
    <t>Matti Karttunen</t>
  </si>
  <si>
    <t>Elizabeth  Lincoln</t>
  </si>
  <si>
    <t>Ann  Brown</t>
  </si>
  <si>
    <t>Jan Klaeboe</t>
  </si>
  <si>
    <t>Yoshi  Tamuri</t>
  </si>
  <si>
    <t>Steve Thompson</t>
  </si>
  <si>
    <t>Fr d rique  Citeaux</t>
  </si>
  <si>
    <t>Sean Clenahan</t>
  </si>
  <si>
    <t>Sarah McRoy</t>
  </si>
  <si>
    <t>Francisca Cervantes</t>
  </si>
  <si>
    <t>Roland Keitel</t>
  </si>
  <si>
    <t>Annette  Roulet</t>
  </si>
  <si>
    <t>Jean King</t>
  </si>
  <si>
    <t>Allen Nelson</t>
  </si>
  <si>
    <t>Dean Cassidy</t>
  </si>
  <si>
    <t>Jesus Fernandez</t>
  </si>
  <si>
    <t>Michael Donnermeyer</t>
  </si>
  <si>
    <t>Sue Taylor</t>
  </si>
  <si>
    <t>Jean  Fresni re</t>
  </si>
  <si>
    <t>Mike Gao</t>
  </si>
  <si>
    <t>Yu Choi</t>
  </si>
  <si>
    <t>Roland  Mendel</t>
  </si>
  <si>
    <t>Daniel Da Silva</t>
  </si>
  <si>
    <t>Dan Lewis</t>
  </si>
  <si>
    <t>Julie Murphy</t>
  </si>
  <si>
    <t>Maria Hernandez</t>
  </si>
  <si>
    <t>Ben Calaghan</t>
  </si>
  <si>
    <t>Christina  Berglund</t>
  </si>
  <si>
    <t>Thomas  Smith</t>
  </si>
  <si>
    <t>Brian Chandler</t>
  </si>
  <si>
    <t>Jerry Tseng</t>
  </si>
  <si>
    <t>Franco Ricotti</t>
  </si>
  <si>
    <t>Carine  Schmitt</t>
  </si>
  <si>
    <t>Pascale  Cartrain</t>
  </si>
  <si>
    <t>Leslie Taylor</t>
  </si>
  <si>
    <t>Mary Young</t>
  </si>
  <si>
    <t>Row Labels</t>
  </si>
  <si>
    <t>Sum of creditlimit</t>
  </si>
  <si>
    <t>less than 50k</t>
  </si>
  <si>
    <t>Sum of total_revenue</t>
  </si>
  <si>
    <t>Sales as % of Credit Limit</t>
  </si>
  <si>
    <t>Sales Revenue by Region</t>
  </si>
  <si>
    <t>Sales vs Credit by Customer</t>
  </si>
  <si>
    <t>total_order_count</t>
  </si>
  <si>
    <t>Average of order_amount</t>
  </si>
  <si>
    <t>Customer</t>
  </si>
  <si>
    <t>Region</t>
  </si>
  <si>
    <t>Credit Tier</t>
  </si>
  <si>
    <t>Top 10 Customers and Credit Tier</t>
  </si>
  <si>
    <t>Sales by Credit Tier</t>
  </si>
  <si>
    <t>Avg Order by Credit Tier</t>
  </si>
  <si>
    <t>credit_tier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</si>
</sst>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9" fontId="0" fillId="0" borderId="0" xfId="2" applyFont="1"/>
    <xf numFmtId="0" fontId="3" fillId="2" borderId="0" xfId="0" applyFont="1" applyFill="1" applyAlignment="1">
      <alignment horizontal="center" vertical="center"/>
    </xf>
    <xf numFmtId="9" fontId="0" fillId="0" borderId="0" xfId="0" applyNumberFormat="1"/>
    <xf numFmtId="0" fontId="3" fillId="0" borderId="0" xfId="0" applyFont="1" applyFill="1" applyAlignment="1">
      <alignment vertical="center"/>
    </xf>
    <xf numFmtId="0" fontId="0" fillId="3" borderId="0" xfId="0" applyFont="1" applyFill="1"/>
    <xf numFmtId="0" fontId="2" fillId="0" borderId="1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58">
    <dxf>
      <fill>
        <patternFill>
          <bgColor rgb="FFF3AC85"/>
        </patternFill>
      </fill>
    </dxf>
    <dxf>
      <fill>
        <patternFill>
          <bgColor rgb="FFF7C4A7"/>
        </patternFill>
      </fill>
    </dxf>
    <dxf>
      <fill>
        <patternFill>
          <bgColor rgb="FFF9D4BF"/>
        </patternFill>
      </fill>
    </dxf>
    <dxf>
      <fill>
        <patternFill>
          <bgColor rgb="FFFBE2D5"/>
        </patternFill>
      </fill>
    </dxf>
    <dxf>
      <fill>
        <patternFill>
          <bgColor rgb="FFFDF0E9"/>
        </patternFill>
      </fill>
    </dxf>
    <dxf>
      <fill>
        <patternFill>
          <bgColor rgb="FFFDF0E9"/>
        </patternFill>
      </fill>
    </dxf>
    <dxf>
      <fill>
        <patternFill>
          <bgColor rgb="FFF3AC85"/>
        </patternFill>
      </fill>
    </dxf>
    <dxf>
      <fill>
        <patternFill>
          <bgColor rgb="FFF7C4A7"/>
        </patternFill>
      </fill>
    </dxf>
    <dxf>
      <fill>
        <patternFill>
          <bgColor rgb="FFF9D4BF"/>
        </patternFill>
      </fill>
    </dxf>
    <dxf>
      <fill>
        <patternFill>
          <bgColor rgb="FFFBE2D5"/>
        </patternFill>
      </fill>
    </dxf>
    <dxf>
      <fill>
        <patternFill>
          <bgColor rgb="FFDE82D5"/>
        </patternFill>
      </fill>
    </dxf>
    <dxf>
      <fill>
        <patternFill>
          <bgColor rgb="FFE6A2E0"/>
        </patternFill>
      </fill>
    </dxf>
    <dxf>
      <fill>
        <patternFill>
          <bgColor rgb="FFF0C6EC"/>
        </patternFill>
      </fill>
    </dxf>
    <dxf>
      <fill>
        <patternFill>
          <bgColor rgb="FFF9E7F7"/>
        </patternFill>
      </fill>
    </dxf>
    <dxf>
      <fill>
        <patternFill>
          <bgColor rgb="FFFAF0FA"/>
        </patternFill>
      </fill>
    </dxf>
    <dxf>
      <fill>
        <patternFill>
          <bgColor rgb="FFDE82D5"/>
        </patternFill>
      </fill>
    </dxf>
    <dxf>
      <fill>
        <patternFill>
          <bgColor rgb="FFE6A2E0"/>
        </patternFill>
      </fill>
    </dxf>
    <dxf>
      <fill>
        <patternFill>
          <bgColor rgb="FFF0C6EC"/>
        </patternFill>
      </fill>
    </dxf>
    <dxf>
      <fill>
        <patternFill>
          <bgColor rgb="FFF9E7F7"/>
        </patternFill>
      </fill>
    </dxf>
    <dxf>
      <fill>
        <patternFill>
          <bgColor rgb="FFFAF0FA"/>
        </patternFill>
      </fill>
    </dxf>
    <dxf>
      <fill>
        <patternFill>
          <bgColor rgb="FFDE82D5"/>
        </patternFill>
      </fill>
    </dxf>
    <dxf>
      <fill>
        <patternFill>
          <bgColor rgb="FFE6A2E0"/>
        </patternFill>
      </fill>
    </dxf>
    <dxf>
      <fill>
        <patternFill>
          <bgColor rgb="FFF0C6EC"/>
        </patternFill>
      </fill>
    </dxf>
    <dxf>
      <fill>
        <patternFill>
          <bgColor rgb="FFF9E7F7"/>
        </patternFill>
      </fill>
    </dxf>
    <dxf>
      <fill>
        <patternFill>
          <bgColor rgb="FFFAF0FA"/>
        </patternFill>
      </fill>
    </dxf>
    <dxf>
      <fill>
        <patternFill>
          <bgColor rgb="FFE08CD8"/>
        </patternFill>
      </fill>
    </dxf>
    <dxf>
      <fill>
        <patternFill>
          <bgColor rgb="FFE7A7E1"/>
        </patternFill>
      </fill>
    </dxf>
    <dxf>
      <fill>
        <patternFill>
          <bgColor theme="8" tint="0.79998168889431442"/>
        </patternFill>
      </fill>
    </dxf>
    <dxf>
      <fill>
        <patternFill>
          <bgColor rgb="FFF9E7F7"/>
        </patternFill>
      </fill>
    </dxf>
    <dxf>
      <fill>
        <patternFill>
          <bgColor rgb="FFFAF0FA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8E4F6"/>
        </patternFill>
      </fill>
    </dxf>
    <dxf>
      <fill>
        <patternFill>
          <bgColor rgb="FFF9EDF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8E4F6"/>
        </patternFill>
      </fill>
    </dxf>
    <dxf>
      <fill>
        <patternFill>
          <bgColor rgb="FFF9EDF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8E4F6"/>
        </patternFill>
      </fill>
    </dxf>
    <dxf>
      <fill>
        <patternFill>
          <bgColor rgb="FFF9EDF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8E4F6"/>
        </patternFill>
      </fill>
    </dxf>
    <dxf>
      <fill>
        <patternFill>
          <bgColor rgb="FFF9EDF9"/>
        </patternFill>
      </fill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DF0E9"/>
      <color rgb="FFFBE2D5"/>
      <color rgb="FFF9D4BF"/>
      <color rgb="FFF7C4A7"/>
      <color rgb="FFF6BC9C"/>
      <color rgb="FFF5B795"/>
      <color rgb="FFF3AC85"/>
      <color rgb="FFF0C6EC"/>
      <color rgb="FFF0C8EC"/>
      <color rgb="FFE6A2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[customer_sales_vs_credit_analysis.xlsx]Pivot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9324903778662647E-3"/>
              <c:y val="-3.1746007239291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1"/>
              <c:layout>
                <c:manualLayout>
                  <c:x val="-5.9324903778662647E-3"/>
                  <c:y val="-3.1746007239291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B5-46AA-9893-171E01AB6C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Tables'!$B$5:$B$26</c:f>
              <c:strCache>
                <c:ptCount val="22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Norway</c:v>
                </c:pt>
                <c:pt idx="5">
                  <c:v>Switzerland</c:v>
                </c:pt>
                <c:pt idx="6">
                  <c:v>Norway  </c:v>
                </c:pt>
                <c:pt idx="7">
                  <c:v>Japan</c:v>
                </c:pt>
                <c:pt idx="8">
                  <c:v>Sweden</c:v>
                </c:pt>
                <c:pt idx="9">
                  <c:v>Austria</c:v>
                </c:pt>
                <c:pt idx="10">
                  <c:v>Germany</c:v>
                </c:pt>
                <c:pt idx="11">
                  <c:v>Canada</c:v>
                </c:pt>
                <c:pt idx="12">
                  <c:v>Denmark</c:v>
                </c:pt>
                <c:pt idx="13">
                  <c:v>Singapore</c:v>
                </c:pt>
                <c:pt idx="14">
                  <c:v>Finland</c:v>
                </c:pt>
                <c:pt idx="15">
                  <c:v>Italy</c:v>
                </c:pt>
                <c:pt idx="16">
                  <c:v>UK</c:v>
                </c:pt>
                <c:pt idx="17">
                  <c:v>New Zealand</c:v>
                </c:pt>
                <c:pt idx="18">
                  <c:v>Australia</c:v>
                </c:pt>
                <c:pt idx="19">
                  <c:v>France</c:v>
                </c:pt>
                <c:pt idx="20">
                  <c:v>Spain</c:v>
                </c:pt>
                <c:pt idx="21">
                  <c:v>USA</c:v>
                </c:pt>
              </c:strCache>
            </c:strRef>
          </c:cat>
          <c:val>
            <c:numRef>
              <c:f>'Pivot Tables'!$C$5:$C$26</c:f>
              <c:numCache>
                <c:formatCode>_("$"* #,##0.00_);_("$"* \(#,##0.00\);_("$"* "-"??_);_(@_)</c:formatCode>
                <c:ptCount val="22"/>
                <c:pt idx="0">
                  <c:v>45480.79</c:v>
                </c:pt>
                <c:pt idx="1">
                  <c:v>49898.270000000004</c:v>
                </c:pt>
                <c:pt idx="2">
                  <c:v>87468.3</c:v>
                </c:pt>
                <c:pt idx="3">
                  <c:v>100068.76</c:v>
                </c:pt>
                <c:pt idx="4">
                  <c:v>104224.79000000001</c:v>
                </c:pt>
                <c:pt idx="5">
                  <c:v>108777.92</c:v>
                </c:pt>
                <c:pt idx="6">
                  <c:v>166621.51</c:v>
                </c:pt>
                <c:pt idx="7">
                  <c:v>167909.95</c:v>
                </c:pt>
                <c:pt idx="8">
                  <c:v>187638.35</c:v>
                </c:pt>
                <c:pt idx="9">
                  <c:v>188540.06000000003</c:v>
                </c:pt>
                <c:pt idx="10">
                  <c:v>196470.99000000002</c:v>
                </c:pt>
                <c:pt idx="11">
                  <c:v>205911.86</c:v>
                </c:pt>
                <c:pt idx="12">
                  <c:v>218994.91999999998</c:v>
                </c:pt>
                <c:pt idx="13">
                  <c:v>263997.78000000003</c:v>
                </c:pt>
                <c:pt idx="14">
                  <c:v>295149.35000000003</c:v>
                </c:pt>
                <c:pt idx="15">
                  <c:v>360616.80999999994</c:v>
                </c:pt>
                <c:pt idx="16">
                  <c:v>436947.44000000006</c:v>
                </c:pt>
                <c:pt idx="17">
                  <c:v>476847.00999999989</c:v>
                </c:pt>
                <c:pt idx="18">
                  <c:v>562582.59000000008</c:v>
                </c:pt>
                <c:pt idx="19">
                  <c:v>1007374.0200000001</c:v>
                </c:pt>
                <c:pt idx="20">
                  <c:v>1099389.0899999999</c:v>
                </c:pt>
                <c:pt idx="21">
                  <c:v>3273280.0499999989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5-46AA-9893-171E01AB6C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09201344"/>
        <c:axId val="1909201824"/>
      </c:barChart>
      <c:catAx>
        <c:axId val="190920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201824"/>
        <c:crosses val="autoZero"/>
        <c:auto val="1"/>
        <c:lblAlgn val="ctr"/>
        <c:lblOffset val="100"/>
        <c:noMultiLvlLbl val="0"/>
      </c:catAx>
      <c:valAx>
        <c:axId val="1909201824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9092013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[customer_sales_vs_credit_analysis.xlsx]Pivot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Credit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Tables'!$E$5:$E$9</c:f>
              <c:strCache>
                <c:ptCount val="5"/>
                <c:pt idx="0">
                  <c:v>greater than 125k</c:v>
                </c:pt>
                <c:pt idx="1">
                  <c:v>100k - 125k</c:v>
                </c:pt>
                <c:pt idx="2">
                  <c:v>75k - 100k</c:v>
                </c:pt>
                <c:pt idx="3">
                  <c:v>50k - 75k</c:v>
                </c:pt>
                <c:pt idx="4">
                  <c:v>less than 50k</c:v>
                </c:pt>
              </c:strCache>
            </c:strRef>
          </c:cat>
          <c:val>
            <c:numRef>
              <c:f>'Pivot Tables'!$F$5:$F$9</c:f>
              <c:numCache>
                <c:formatCode>_("$"* #,##0.00_);_("$"* \(#,##0.00\);_("$"* "-"??_);_(@_)</c:formatCode>
                <c:ptCount val="5"/>
                <c:pt idx="0">
                  <c:v>1847618.8399999999</c:v>
                </c:pt>
                <c:pt idx="1">
                  <c:v>2399571.3099999996</c:v>
                </c:pt>
                <c:pt idx="2">
                  <c:v>3281983.5400000005</c:v>
                </c:pt>
                <c:pt idx="3">
                  <c:v>1479125.4000000004</c:v>
                </c:pt>
                <c:pt idx="4">
                  <c:v>595891.52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5-4E4B-8FE7-4B26B3AC9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964256"/>
        <c:axId val="1904966176"/>
      </c:barChart>
      <c:catAx>
        <c:axId val="190496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966176"/>
        <c:crosses val="autoZero"/>
        <c:auto val="1"/>
        <c:lblAlgn val="ctr"/>
        <c:lblOffset val="100"/>
        <c:noMultiLvlLbl val="0"/>
      </c:catAx>
      <c:valAx>
        <c:axId val="190496617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0496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[customer_sales_vs_credit_analysis.xlsx]Pivot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Order Amount by Credit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Tables'!$E$16:$E$20</c:f>
              <c:strCache>
                <c:ptCount val="5"/>
                <c:pt idx="0">
                  <c:v>greater than 125k</c:v>
                </c:pt>
                <c:pt idx="1">
                  <c:v>100k - 125k</c:v>
                </c:pt>
                <c:pt idx="2">
                  <c:v>75k - 100k</c:v>
                </c:pt>
                <c:pt idx="3">
                  <c:v>50k - 75k</c:v>
                </c:pt>
                <c:pt idx="4">
                  <c:v>less than 50k</c:v>
                </c:pt>
              </c:strCache>
            </c:strRef>
          </c:cat>
          <c:val>
            <c:numRef>
              <c:f>'Pivot Tables'!$F$16:$F$20</c:f>
              <c:numCache>
                <c:formatCode>_("$"* #,##0.00_);_("$"* \(#,##0.00\);_("$"* "-"??_);_(@_)</c:formatCode>
                <c:ptCount val="5"/>
                <c:pt idx="0">
                  <c:v>35531.131538461537</c:v>
                </c:pt>
                <c:pt idx="1">
                  <c:v>37493.301718749994</c:v>
                </c:pt>
                <c:pt idx="2">
                  <c:v>30109.940733944957</c:v>
                </c:pt>
                <c:pt idx="3">
                  <c:v>23111.334375000006</c:v>
                </c:pt>
                <c:pt idx="4">
                  <c:v>16105.176216216216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4-4517-87D8-7CE9B5153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671280"/>
        <c:axId val="1940671760"/>
      </c:barChart>
      <c:catAx>
        <c:axId val="194067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671760"/>
        <c:crosses val="autoZero"/>
        <c:auto val="1"/>
        <c:lblAlgn val="ctr"/>
        <c:lblOffset val="100"/>
        <c:noMultiLvlLbl val="0"/>
      </c:catAx>
      <c:valAx>
        <c:axId val="1940671760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94067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</xdr:row>
      <xdr:rowOff>76200</xdr:rowOff>
    </xdr:from>
    <xdr:to>
      <xdr:col>12</xdr:col>
      <xdr:colOff>457200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A8B0EA-5D70-4382-A96F-C0D01A52B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104775</xdr:colOff>
      <xdr:row>1</xdr:row>
      <xdr:rowOff>85725</xdr:rowOff>
    </xdr:from>
    <xdr:to>
      <xdr:col>20</xdr:col>
      <xdr:colOff>409575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DBA6A1-8FA6-4867-8ADF-AA801910C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104775</xdr:colOff>
      <xdr:row>16</xdr:row>
      <xdr:rowOff>123824</xdr:rowOff>
    </xdr:from>
    <xdr:to>
      <xdr:col>20</xdr:col>
      <xdr:colOff>409575</xdr:colOff>
      <xdr:row>31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1009D3-0EB8-4895-B0E5-AE1A63955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k S" refreshedDate="46076.432581828703" createdVersion="8" refreshedVersion="8" minRefreshableVersion="3" recordCount="326" xr:uid="{FB7B9569-6D20-44B3-9C34-BCF8A57521B9}">
  <cacheSource type="worksheet">
    <worksheetSource name="total_revenue_bycountry"/>
  </cacheSource>
  <cacheFields count="6">
    <cacheField name="ordernumber" numFmtId="0">
      <sharedItems containsSemiMixedTypes="0" containsString="0" containsNumber="1" containsInteger="1" minValue="10100" maxValue="10425"/>
    </cacheField>
    <cacheField name="customername" numFmtId="0">
      <sharedItems count="98">
        <s v="Alpha Cognac"/>
        <s v="Amica Models &amp; Co."/>
        <s v="Anna's Decorations, Ltd"/>
        <s v="Atelier graphique"/>
        <s v="Australian Collectables, Ltd"/>
        <s v="Australian Collectors, Co."/>
        <s v="Australian Gift Network, Co"/>
        <s v="Auto Associ s &amp; Cie."/>
        <s v="Auto Canal+ Petit"/>
        <s v="Auto-Moto Classics Inc."/>
        <s v="AV Stores, Co."/>
        <s v="Baane Mini Imports"/>
        <s v="Bavarian Collectables Imports, Co."/>
        <s v="Blauer See Auto, Co."/>
        <s v="Boards &amp; Toys Co."/>
        <s v="CAF Imports"/>
        <s v="Cambridge Collectables Co."/>
        <s v="Canadian Gift Exchange Network"/>
        <s v="Classic Gift Ideas, Inc"/>
        <s v="Classic Legends Inc."/>
        <s v="Clover Collections, Co."/>
        <s v="Collectable Mini Designs Co."/>
        <s v="Collectables For Less Inc."/>
        <s v="Corporate Gift Ideas Co."/>
        <s v="Corrida Auto Replicas, Ltd"/>
        <s v="Cruz &amp; Sons Co."/>
        <s v="Daedalus Designs Imports"/>
        <s v="Danish Wholesale Imports"/>
        <s v="Diecast Classics Inc."/>
        <s v="Diecast Collectables"/>
        <s v="Double Decker Gift Stores, Ltd"/>
        <s v="Down Under Souveniers, Inc"/>
        <s v="Dragon Souveniers, Ltd."/>
        <s v="Enaco Distributors"/>
        <s v="Euro+ Shopping Channel"/>
        <s v="Extreme Desk Decorations, Ltd"/>
        <s v="Frau da Collezione"/>
        <s v="FunGiftIdeas.com"/>
        <s v="Gift Depot Inc."/>
        <s v="Gift Ideas Corp."/>
        <s v="Gifts4AllAges.com"/>
        <s v="giftsbymail.co.uk"/>
        <s v="GiftsForHim.com"/>
        <s v="Handji Gifts&amp; Co"/>
        <s v="Heintze Collectables"/>
        <s v="Herkku Gifts"/>
        <s v="Iberia Gift Imports, Corp."/>
        <s v="Kelly's Gift Shop"/>
        <s v="King Kong Collectables, Co."/>
        <s v="La Corne D'abondance, Co."/>
        <s v="La Rochelle Gifts"/>
        <s v="Land of Toys Inc."/>
        <s v="L'ordine Souveniers"/>
        <s v="Lyon Souveniers"/>
        <s v="Marseille Mini Autos"/>
        <s v="Marta's Replicas Co."/>
        <s v="Men 'R' US Retailers, Ltd."/>
        <s v="Microscale Inc."/>
        <s v="Mini Auto Werke"/>
        <s v="Mini Caravy"/>
        <s v="Mini Classics"/>
        <s v="Mini Creations Ltd."/>
        <s v="Mini Gifts Distributors Ltd."/>
        <s v="Mini Wheels Co."/>
        <s v="Motor Mint Distributors Inc."/>
        <s v="Muscle Machine Inc"/>
        <s v="Norway Gifts By Mail, Co."/>
        <s v="Online Diecast Creations Co."/>
        <s v="Online Mini Collectables"/>
        <s v="Osaka Souveniers Co."/>
        <s v="Oulu Toy Supplies, Inc."/>
        <s v="Petit Auto"/>
        <s v="Qu bec Home Shopping Network"/>
        <s v="Reims Collectables"/>
        <s v="Rovelli Gifts"/>
        <s v="Royal Canadian Collectables, Ltd."/>
        <s v="Royale Belge"/>
        <s v="Salzburg Collectables"/>
        <s v="Saveley &amp; Henriot, Co."/>
        <s v="Scandinavian Gift Ideas"/>
        <s v="Signal Collectibles Ltd."/>
        <s v="Signal Gift Stores"/>
        <s v="Souveniers And Things Co."/>
        <s v="Stylish Desk Decors, Co."/>
        <s v="Suominen Souveniers"/>
        <s v="Super Scale Inc."/>
        <s v="Technics Stores Inc."/>
        <s v="Tekni Collectables Inc."/>
        <s v="The Sharp Gifts Warehouse"/>
        <s v="Tokyo Collectables, Ltd"/>
        <s v="Toms Spezialit ten, Ltd"/>
        <s v="Toys of Finland, Co."/>
        <s v="Toys4GrownUps.com"/>
        <s v="UK Collectables, Ltd."/>
        <s v="Vida Sport, Ltd"/>
        <s v="Vitachrome Inc."/>
        <s v="Volvo Model Replicas, Co"/>
        <s v="West Coast Collectables Co."/>
      </sharedItems>
    </cacheField>
    <cacheField name="contactname" numFmtId="0">
      <sharedItems/>
    </cacheField>
    <cacheField name="country" numFmtId="0">
      <sharedItems count="22">
        <s v="France"/>
        <s v="Italy"/>
        <s v="Australia"/>
        <s v="USA"/>
        <s v="UK"/>
        <s v="Norway"/>
        <s v="Germany"/>
        <s v="Spain"/>
        <s v="Canada"/>
        <s v="Ireland"/>
        <s v="Philippines"/>
        <s v="Denmark"/>
        <s v="New Zealand"/>
        <s v="Singapore"/>
        <s v="Norway  "/>
        <s v="Hong Kong"/>
        <s v="Austria"/>
        <s v="Japan"/>
        <s v="Finland"/>
        <s v="Belgium"/>
        <s v="Sweden"/>
        <s v="Switzerland"/>
      </sharedItems>
    </cacheField>
    <cacheField name="total_items" numFmtId="0">
      <sharedItems containsSemiMixedTypes="0" containsString="0" containsNumber="1" containsInteger="1" minValue="1" maxValue="18"/>
    </cacheField>
    <cacheField name="total_revenue" numFmtId="44">
      <sharedItems containsSemiMixedTypes="0" containsString="0" containsNumber="1" minValue="615.45000000000005" maxValue="67392.85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k S" refreshedDate="46077.463383449074" createdVersion="8" refreshedVersion="8" minRefreshableVersion="3" recordCount="98" xr:uid="{69199386-BCC6-4246-8894-6A30FD3CE57A}">
  <cacheSource type="worksheet">
    <worksheetSource name="customer_credit_vs_sales"/>
  </cacheSource>
  <cacheFields count="8">
    <cacheField name="customername" numFmtId="0">
      <sharedItems count="98">
        <s v="Alpha Cognac"/>
        <s v="Amica Models &amp; Co."/>
        <s v="Anna's Decorations, Ltd"/>
        <s v="Atelier graphique"/>
        <s v="Australian Collectables, Ltd"/>
        <s v="Australian Collectors, Co."/>
        <s v="Australian Gift Network, Co"/>
        <s v="Auto Associ s &amp; Cie."/>
        <s v="Auto Canal+ Petit"/>
        <s v="Auto-Moto Classics Inc."/>
        <s v="AV Stores, Co."/>
        <s v="Baane Mini Imports"/>
        <s v="Bavarian Collectables Imports, Co."/>
        <s v="Blauer See Auto, Co."/>
        <s v="Boards &amp; Toys Co."/>
        <s v="CAF Imports"/>
        <s v="Cambridge Collectables Co."/>
        <s v="Canadian Gift Exchange Network"/>
        <s v="Classic Gift Ideas, Inc"/>
        <s v="Classic Legends Inc."/>
        <s v="Clover Collections, Co."/>
        <s v="Collectable Mini Designs Co."/>
        <s v="Collectables For Less Inc."/>
        <s v="Corporate Gift Ideas Co."/>
        <s v="Corrida Auto Replicas, Ltd"/>
        <s v="Cruz &amp; Sons Co."/>
        <s v="Daedalus Designs Imports"/>
        <s v="Danish Wholesale Imports"/>
        <s v="Diecast Classics Inc."/>
        <s v="Diecast Collectables"/>
        <s v="Double Decker Gift Stores, Ltd"/>
        <s v="Down Under Souveniers, Inc"/>
        <s v="Dragon Souveniers, Ltd."/>
        <s v="Enaco Distributors"/>
        <s v="Euro+ Shopping Channel"/>
        <s v="Extreme Desk Decorations, Ltd"/>
        <s v="Frau da Collezione"/>
        <s v="FunGiftIdeas.com"/>
        <s v="Gift Depot Inc."/>
        <s v="Gift Ideas Corp."/>
        <s v="Gifts4AllAges.com"/>
        <s v="giftsbymail.co.uk"/>
        <s v="GiftsForHim.com"/>
        <s v="Handji Gifts&amp; Co"/>
        <s v="Heintze Collectables"/>
        <s v="Herkku Gifts"/>
        <s v="Iberia Gift Imports, Corp."/>
        <s v="Kelly's Gift Shop"/>
        <s v="King Kong Collectables, Co."/>
        <s v="La Corne D'abondance, Co."/>
        <s v="La Rochelle Gifts"/>
        <s v="Land of Toys Inc."/>
        <s v="L'ordine Souveniers"/>
        <s v="Lyon Souveniers"/>
        <s v="Marseille Mini Autos"/>
        <s v="Marta's Replicas Co."/>
        <s v="Men 'R' US Retailers, Ltd."/>
        <s v="Microscale Inc."/>
        <s v="Mini Auto Werke"/>
        <s v="Mini Caravy"/>
        <s v="Mini Classics"/>
        <s v="Mini Creations Ltd."/>
        <s v="Mini Gifts Distributors Ltd."/>
        <s v="Mini Wheels Co."/>
        <s v="Motor Mint Distributors Inc."/>
        <s v="Muscle Machine Inc"/>
        <s v="Norway Gifts By Mail, Co."/>
        <s v="Online Diecast Creations Co."/>
        <s v="Online Mini Collectables"/>
        <s v="Osaka Souveniers Co."/>
        <s v="Oulu Toy Supplies, Inc."/>
        <s v="Petit Auto"/>
        <s v="Qu bec Home Shopping Network"/>
        <s v="Reims Collectables"/>
        <s v="Rovelli Gifts"/>
        <s v="Royal Canadian Collectables, Ltd."/>
        <s v="Royale Belge"/>
        <s v="Salzburg Collectables"/>
        <s v="Saveley &amp; Henriot, Co."/>
        <s v="Scandinavian Gift Ideas"/>
        <s v="Signal Collectibles Ltd."/>
        <s v="Signal Gift Stores"/>
        <s v="Souveniers And Things Co."/>
        <s v="Stylish Desk Decors, Co."/>
        <s v="Suominen Souveniers"/>
        <s v="Super Scale Inc."/>
        <s v="Technics Stores Inc."/>
        <s v="Tekni Collectables Inc."/>
        <s v="The Sharp Gifts Warehouse"/>
        <s v="Tokyo Collectables, Ltd"/>
        <s v="Toms Spezialit ten, Ltd"/>
        <s v="Toys of Finland, Co."/>
        <s v="Toys4GrownUps.com"/>
        <s v="UK Collectables, Ltd."/>
        <s v="Vida Sport, Ltd"/>
        <s v="Vitachrome Inc."/>
        <s v="Volvo Model Replicas, Co"/>
        <s v="West Coast Collectables Co."/>
      </sharedItems>
    </cacheField>
    <cacheField name="country" numFmtId="0">
      <sharedItems count="22">
        <s v="France"/>
        <s v="Italy"/>
        <s v="Australia"/>
        <s v="USA"/>
        <s v="UK"/>
        <s v="Norway"/>
        <s v="Germany"/>
        <s v="Spain"/>
        <s v="Canada"/>
        <s v="Ireland"/>
        <s v="Philippines"/>
        <s v="Denmark"/>
        <s v="New Zealand"/>
        <s v="Singapore"/>
        <s v="Norway  "/>
        <s v="Hong Kong"/>
        <s v="Austria"/>
        <s v="Japan"/>
        <s v="Finland"/>
        <s v="Belgium"/>
        <s v="Sweden"/>
        <s v="Switzerland"/>
      </sharedItems>
    </cacheField>
    <cacheField name="total_order_count" numFmtId="0">
      <sharedItems containsSemiMixedTypes="0" containsString="0" containsNumber="1" containsInteger="1" minValue="1" maxValue="26"/>
    </cacheField>
    <cacheField name="total_revenue" numFmtId="44">
      <sharedItems containsSemiMixedTypes="0" containsString="0" containsNumber="1" minValue="7918.6" maxValue="820689.54"/>
    </cacheField>
    <cacheField name="creditlimit" numFmtId="44">
      <sharedItems containsSemiMixedTypes="0" containsString="0" containsNumber="1" containsInteger="1" minValue="1200" maxValue="227600"/>
    </cacheField>
    <cacheField name="credit_group" numFmtId="0">
      <sharedItems count="6">
        <s v="50k - 75k"/>
        <s v="100k - 125k"/>
        <s v="less than 50k"/>
        <s v="75k - 100k"/>
        <s v="greater than 125k"/>
        <s v="less then 50k" u="1"/>
      </sharedItems>
    </cacheField>
    <cacheField name="Credit_Utilization" numFmtId="0" formula="total_revenue/creditlimit" databaseField="0"/>
    <cacheField name="order_amount" numFmtId="0" formula="total_revenue/total_order_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n v="10178"/>
    <x v="0"/>
    <s v="Annette  Roulet"/>
    <x v="0"/>
    <n v="12"/>
    <n v="33818.339999999997"/>
  </r>
  <r>
    <n v="10136"/>
    <x v="0"/>
    <s v="Annette  Roulet"/>
    <x v="0"/>
    <n v="3"/>
    <n v="14232.7"/>
  </r>
  <r>
    <n v="10397"/>
    <x v="0"/>
    <s v="Annette  Roulet"/>
    <x v="0"/>
    <n v="5"/>
    <n v="12432.32"/>
  </r>
  <r>
    <n v="10280"/>
    <x v="1"/>
    <s v="Paolo  Accorti"/>
    <x v="1"/>
    <n v="17"/>
    <n v="48298.99"/>
  </r>
  <r>
    <n v="10293"/>
    <x v="1"/>
    <s v="Paolo  Accorti"/>
    <x v="1"/>
    <n v="9"/>
    <n v="33924.239999999998"/>
  </r>
  <r>
    <n v="10148"/>
    <x v="2"/>
    <s v="Anna O'Hara"/>
    <x v="2"/>
    <n v="14"/>
    <n v="41554.730000000003"/>
  </r>
  <r>
    <n v="10169"/>
    <x v="2"/>
    <s v="Anna O'Hara"/>
    <x v="2"/>
    <n v="13"/>
    <n v="38547.19"/>
  </r>
  <r>
    <n v="10391"/>
    <x v="2"/>
    <s v="Anna O'Hara"/>
    <x v="2"/>
    <n v="10"/>
    <n v="29848.52"/>
  </r>
  <r>
    <n v="10370"/>
    <x v="2"/>
    <s v="Anna O'Hara"/>
    <x v="2"/>
    <n v="9"/>
    <n v="27083.78"/>
  </r>
  <r>
    <n v="10123"/>
    <x v="3"/>
    <s v="Carine  Schmitt"/>
    <x v="0"/>
    <n v="4"/>
    <n v="14571.44"/>
  </r>
  <r>
    <n v="10298"/>
    <x v="3"/>
    <s v="Carine  Schmitt"/>
    <x v="0"/>
    <n v="2"/>
    <n v="6066.78"/>
  </r>
  <r>
    <n v="10345"/>
    <x v="3"/>
    <s v="Carine  Schmitt"/>
    <x v="0"/>
    <n v="1"/>
    <n v="1676.14"/>
  </r>
  <r>
    <n v="10193"/>
    <x v="4"/>
    <s v="Sean Clenahan"/>
    <x v="2"/>
    <n v="16"/>
    <n v="35505.629999999997"/>
  </r>
  <r>
    <n v="10415"/>
    <x v="4"/>
    <s v="Sean Clenahan"/>
    <x v="2"/>
    <n v="5"/>
    <n v="10945.26"/>
  </r>
  <r>
    <n v="10265"/>
    <x v="4"/>
    <s v="Sean Clenahan"/>
    <x v="2"/>
    <n v="2"/>
    <n v="9415.1299999999992"/>
  </r>
  <r>
    <n v="10120"/>
    <x v="5"/>
    <s v="Peter Ferguson"/>
    <x v="2"/>
    <n v="15"/>
    <n v="45864.03"/>
  </r>
  <r>
    <n v="10223"/>
    <x v="5"/>
    <s v="Peter Ferguson"/>
    <x v="2"/>
    <n v="15"/>
    <n v="44894.74"/>
  </r>
  <r>
    <n v="10347"/>
    <x v="5"/>
    <s v="Peter Ferguson"/>
    <x v="2"/>
    <n v="12"/>
    <n v="41995.62"/>
  </r>
  <r>
    <n v="10342"/>
    <x v="5"/>
    <s v="Peter Ferguson"/>
    <x v="2"/>
    <n v="11"/>
    <n v="40265.599999999999"/>
  </r>
  <r>
    <n v="10125"/>
    <x v="5"/>
    <s v="Peter Ferguson"/>
    <x v="2"/>
    <n v="2"/>
    <n v="7565.08"/>
  </r>
  <r>
    <n v="10174"/>
    <x v="6"/>
    <s v="Ben Calaghan"/>
    <x v="2"/>
    <n v="5"/>
    <n v="23936.53"/>
  </r>
  <r>
    <n v="10374"/>
    <x v="6"/>
    <s v="Ben Calaghan"/>
    <x v="2"/>
    <n v="6"/>
    <n v="21432.31"/>
  </r>
  <r>
    <n v="10152"/>
    <x v="6"/>
    <s v="Ben Calaghan"/>
    <x v="2"/>
    <n v="4"/>
    <n v="9821.32"/>
  </r>
  <r>
    <n v="10304"/>
    <x v="7"/>
    <s v="Daniel  Tonini"/>
    <x v="0"/>
    <n v="17"/>
    <n v="53116.99"/>
  </r>
  <r>
    <n v="10216"/>
    <x v="7"/>
    <s v="Daniel  Tonini"/>
    <x v="0"/>
    <n v="1"/>
    <n v="5759.42"/>
  </r>
  <r>
    <n v="10211"/>
    <x v="8"/>
    <s v="Dominique Perrier"/>
    <x v="0"/>
    <n v="15"/>
    <n v="49165.16"/>
  </r>
  <r>
    <n v="10252"/>
    <x v="8"/>
    <s v="Dominique Perrier"/>
    <x v="0"/>
    <n v="9"/>
    <n v="25080.959999999999"/>
  </r>
  <r>
    <n v="10402"/>
    <x v="8"/>
    <s v="Dominique Perrier"/>
    <x v="0"/>
    <n v="3"/>
    <n v="12190.85"/>
  </r>
  <r>
    <n v="10352"/>
    <x v="9"/>
    <s v="Leslie Taylor"/>
    <x v="3"/>
    <n v="4"/>
    <n v="9658.74"/>
  </r>
  <r>
    <n v="10130"/>
    <x v="9"/>
    <s v="Leslie Taylor"/>
    <x v="3"/>
    <n v="2"/>
    <n v="6036.96"/>
  </r>
  <r>
    <n v="10290"/>
    <x v="9"/>
    <s v="Leslie Taylor"/>
    <x v="3"/>
    <n v="2"/>
    <n v="5858.56"/>
  </r>
  <r>
    <n v="10306"/>
    <x v="10"/>
    <s v="Rachel Ashworth"/>
    <x v="4"/>
    <n v="17"/>
    <n v="52825.29"/>
  </r>
  <r>
    <n v="10110"/>
    <x v="10"/>
    <s v="Rachel Ashworth"/>
    <x v="4"/>
    <n v="16"/>
    <n v="48425.69"/>
  </r>
  <r>
    <n v="10332"/>
    <x v="10"/>
    <s v="Rachel Ashworth"/>
    <x v="4"/>
    <n v="18"/>
    <n v="47159.11"/>
  </r>
  <r>
    <n v="10103"/>
    <x v="11"/>
    <s v="Jonas  Bergulfsen"/>
    <x v="5"/>
    <n v="16"/>
    <n v="50218.95"/>
  </r>
  <r>
    <n v="10325"/>
    <x v="11"/>
    <s v="Jonas  Bergulfsen"/>
    <x v="5"/>
    <n v="9"/>
    <n v="34638.14"/>
  </r>
  <r>
    <n v="10309"/>
    <x v="11"/>
    <s v="Jonas  Bergulfsen"/>
    <x v="5"/>
    <n v="6"/>
    <n v="17876.32"/>
  </r>
  <r>
    <n v="10158"/>
    <x v="11"/>
    <s v="Jonas  Bergulfsen"/>
    <x v="5"/>
    <n v="1"/>
    <n v="1491.38"/>
  </r>
  <r>
    <n v="10296"/>
    <x v="12"/>
    <s v="Michael Donnermeyer"/>
    <x v="6"/>
    <n v="14"/>
    <n v="31310.09"/>
  </r>
  <r>
    <n v="10230"/>
    <x v="13"/>
    <s v="Roland Keitel"/>
    <x v="6"/>
    <n v="8"/>
    <n v="33820.620000000003"/>
  </r>
  <r>
    <n v="10300"/>
    <x v="13"/>
    <s v="Roland Keitel"/>
    <x v="6"/>
    <n v="8"/>
    <n v="24101.81"/>
  </r>
  <r>
    <n v="10101"/>
    <x v="13"/>
    <s v="Roland Keitel"/>
    <x v="6"/>
    <n v="4"/>
    <n v="10549.01"/>
  </r>
  <r>
    <n v="10323"/>
    <x v="13"/>
    <s v="Roland Keitel"/>
    <x v="6"/>
    <n v="2"/>
    <n v="7466.32"/>
  </r>
  <r>
    <n v="10154"/>
    <x v="14"/>
    <s v="Mary Young"/>
    <x v="3"/>
    <n v="2"/>
    <n v="4465.8500000000004"/>
  </r>
  <r>
    <n v="10376"/>
    <x v="14"/>
    <s v="Mary Young"/>
    <x v="3"/>
    <n v="1"/>
    <n v="3452.75"/>
  </r>
  <r>
    <n v="10177"/>
    <x v="15"/>
    <s v="Jesus Fernandez"/>
    <x v="7"/>
    <n v="11"/>
    <n v="31428.21"/>
  </r>
  <r>
    <n v="10231"/>
    <x v="15"/>
    <s v="Jesus Fernandez"/>
    <x v="7"/>
    <n v="2"/>
    <n v="15322.93"/>
  </r>
  <r>
    <n v="10228"/>
    <x v="16"/>
    <s v="Jerry Tseng"/>
    <x v="3"/>
    <n v="6"/>
    <n v="20355.240000000002"/>
  </r>
  <r>
    <n v="10249"/>
    <x v="16"/>
    <s v="Jerry Tseng"/>
    <x v="3"/>
    <n v="5"/>
    <n v="11843.45"/>
  </r>
  <r>
    <n v="10206"/>
    <x v="17"/>
    <s v="Yoshi  Tamuri"/>
    <x v="8"/>
    <n v="11"/>
    <n v="36527.61"/>
  </r>
  <r>
    <n v="10313"/>
    <x v="17"/>
    <s v="Yoshi  Tamuri"/>
    <x v="8"/>
    <n v="11"/>
    <n v="33594.58"/>
  </r>
  <r>
    <n v="10183"/>
    <x v="18"/>
    <s v="Francisca Cervantes"/>
    <x v="3"/>
    <n v="12"/>
    <n v="34606.28"/>
  </r>
  <r>
    <n v="10307"/>
    <x v="18"/>
    <s v="Francisca Cervantes"/>
    <x v="3"/>
    <n v="9"/>
    <n v="23333.06"/>
  </r>
  <r>
    <n v="10337"/>
    <x v="19"/>
    <s v="Maria Hernandez"/>
    <x v="3"/>
    <n v="9"/>
    <n v="25505.98"/>
  </r>
  <r>
    <n v="10163"/>
    <x v="19"/>
    <s v="Maria Hernandez"/>
    <x v="3"/>
    <n v="6"/>
    <n v="22042.37"/>
  </r>
  <r>
    <n v="10115"/>
    <x v="19"/>
    <s v="Maria Hernandez"/>
    <x v="3"/>
    <n v="5"/>
    <n v="21665.98"/>
  </r>
  <r>
    <n v="10220"/>
    <x v="20"/>
    <s v="Dean Cassidy"/>
    <x v="9"/>
    <n v="9"/>
    <n v="32538.74"/>
  </r>
  <r>
    <n v="10297"/>
    <x v="20"/>
    <s v="Dean Cassidy"/>
    <x v="9"/>
    <n v="7"/>
    <n v="17359.53"/>
  </r>
  <r>
    <n v="10222"/>
    <x v="21"/>
    <s v="Valarie Thompson"/>
    <x v="3"/>
    <n v="18"/>
    <n v="56822.65"/>
  </r>
  <r>
    <n v="10226"/>
    <x v="21"/>
    <s v="Valarie Thompson"/>
    <x v="3"/>
    <n v="7"/>
    <n v="23552.59"/>
  </r>
  <r>
    <n v="10147"/>
    <x v="22"/>
    <s v="Allen Nelson"/>
    <x v="3"/>
    <n v="11"/>
    <n v="32680.31"/>
  </r>
  <r>
    <n v="10369"/>
    <x v="22"/>
    <s v="Allen Nelson"/>
    <x v="3"/>
    <n v="8"/>
    <n v="28322.83"/>
  </r>
  <r>
    <n v="10274"/>
    <x v="22"/>
    <s v="Allen Nelson"/>
    <x v="3"/>
    <n v="5"/>
    <n v="12530.51"/>
  </r>
  <r>
    <n v="10159"/>
    <x v="23"/>
    <s v="Julie Brown"/>
    <x v="3"/>
    <n v="18"/>
    <n v="54682.68"/>
  </r>
  <r>
    <n v="10381"/>
    <x v="23"/>
    <s v="Julie Brown"/>
    <x v="3"/>
    <n v="9"/>
    <n v="32626.09"/>
  </r>
  <r>
    <n v="10162"/>
    <x v="23"/>
    <s v="Julie Brown"/>
    <x v="3"/>
    <n v="10"/>
    <n v="30876.44"/>
  </r>
  <r>
    <n v="10384"/>
    <x v="23"/>
    <s v="Julie Brown"/>
    <x v="3"/>
    <n v="4"/>
    <n v="14155.57"/>
  </r>
  <r>
    <n v="10126"/>
    <x v="24"/>
    <s v="Mart n  Sommer"/>
    <x v="7"/>
    <n v="17"/>
    <n v="57131.92"/>
  </r>
  <r>
    <n v="10348"/>
    <x v="24"/>
    <s v="Mart n  Sommer"/>
    <x v="7"/>
    <n v="8"/>
    <n v="33145.56"/>
  </r>
  <r>
    <n v="10214"/>
    <x v="24"/>
    <s v="Mart n  Sommer"/>
    <x v="7"/>
    <n v="7"/>
    <n v="22162.61"/>
  </r>
  <r>
    <n v="10108"/>
    <x v="25"/>
    <s v="Arnold Cruz"/>
    <x v="10"/>
    <n v="16"/>
    <n v="51001.22"/>
  </r>
  <r>
    <n v="10198"/>
    <x v="25"/>
    <s v="Arnold Cruz"/>
    <x v="10"/>
    <n v="6"/>
    <n v="20644.240000000002"/>
  </r>
  <r>
    <n v="10330"/>
    <x v="25"/>
    <s v="Arnold Cruz"/>
    <x v="10"/>
    <n v="4"/>
    <n v="15822.84"/>
  </r>
  <r>
    <n v="10180"/>
    <x v="26"/>
    <s v="Martine  Ranc "/>
    <x v="0"/>
    <n v="14"/>
    <n v="42783.81"/>
  </r>
  <r>
    <n v="10224"/>
    <x v="26"/>
    <s v="Martine  Ranc "/>
    <x v="0"/>
    <n v="6"/>
    <n v="18997.89"/>
  </r>
  <r>
    <n v="10105"/>
    <x v="27"/>
    <s v="Jytte  Petersen"/>
    <x v="11"/>
    <n v="15"/>
    <n v="53959.21"/>
  </r>
  <r>
    <n v="10238"/>
    <x v="27"/>
    <s v="Jytte  Petersen"/>
    <x v="11"/>
    <n v="8"/>
    <n v="28211.7"/>
  </r>
  <r>
    <n v="10406"/>
    <x v="27"/>
    <s v="Jytte  Petersen"/>
    <x v="11"/>
    <n v="3"/>
    <n v="21638.62"/>
  </r>
  <r>
    <n v="10327"/>
    <x v="27"/>
    <s v="Jytte  Petersen"/>
    <x v="11"/>
    <n v="8"/>
    <n v="20564.86"/>
  </r>
  <r>
    <n v="10256"/>
    <x v="27"/>
    <s v="Jytte  Petersen"/>
    <x v="11"/>
    <n v="2"/>
    <n v="4710.7299999999996"/>
  </r>
  <r>
    <n v="10281"/>
    <x v="28"/>
    <s v="Kelvin Leong"/>
    <x v="3"/>
    <n v="14"/>
    <n v="39641.43"/>
  </r>
  <r>
    <n v="10318"/>
    <x v="28"/>
    <s v="Kelvin Leong"/>
    <x v="3"/>
    <n v="9"/>
    <n v="35152.120000000003"/>
  </r>
  <r>
    <n v="10272"/>
    <x v="28"/>
    <s v="Kelvin Leong"/>
    <x v="3"/>
    <n v="6"/>
    <n v="23715.7"/>
  </r>
  <r>
    <n v="10422"/>
    <x v="28"/>
    <s v="Kelvin Leong"/>
    <x v="3"/>
    <n v="2"/>
    <n v="5849.44"/>
  </r>
  <r>
    <n v="10207"/>
    <x v="29"/>
    <s v="Valarie Franco"/>
    <x v="3"/>
    <n v="16"/>
    <n v="59265.14"/>
  </r>
  <r>
    <n v="10243"/>
    <x v="29"/>
    <s v="Valarie Franco"/>
    <x v="3"/>
    <n v="2"/>
    <n v="6276.6"/>
  </r>
  <r>
    <n v="10186"/>
    <x v="30"/>
    <s v="Thomas  Smith"/>
    <x v="4"/>
    <n v="9"/>
    <n v="22275.73"/>
  </r>
  <r>
    <n v="10213"/>
    <x v="30"/>
    <s v="Thomas  Smith"/>
    <x v="4"/>
    <n v="3"/>
    <n v="7310.42"/>
  </r>
  <r>
    <n v="10404"/>
    <x v="31"/>
    <s v="Mike Graham"/>
    <x v="12"/>
    <n v="8"/>
    <n v="41426.81"/>
  </r>
  <r>
    <n v="10354"/>
    <x v="31"/>
    <s v="Mike Graham"/>
    <x v="12"/>
    <n v="13"/>
    <n v="39440.589999999997"/>
  </r>
  <r>
    <n v="10254"/>
    <x v="31"/>
    <s v="Mike Graham"/>
    <x v="12"/>
    <n v="13"/>
    <n v="37281.360000000001"/>
  </r>
  <r>
    <n v="10393"/>
    <x v="31"/>
    <s v="Mike Graham"/>
    <x v="12"/>
    <n v="11"/>
    <n v="33593.32"/>
  </r>
  <r>
    <n v="10132"/>
    <x v="31"/>
    <s v="Mike Graham"/>
    <x v="12"/>
    <n v="1"/>
    <n v="2880"/>
  </r>
  <r>
    <n v="10165"/>
    <x v="32"/>
    <s v="Eric Natividad"/>
    <x v="13"/>
    <n v="18"/>
    <n v="67392.850000000006"/>
  </r>
  <r>
    <n v="10117"/>
    <x v="32"/>
    <s v="Eric Natividad"/>
    <x v="13"/>
    <n v="12"/>
    <n v="44380.15"/>
  </r>
  <r>
    <n v="10150"/>
    <x v="32"/>
    <s v="Eric Natividad"/>
    <x v="13"/>
    <n v="11"/>
    <n v="38350.15"/>
  </r>
  <r>
    <n v="10387"/>
    <x v="32"/>
    <s v="Eric Natividad"/>
    <x v="13"/>
    <n v="1"/>
    <n v="3516.04"/>
  </r>
  <r>
    <n v="10277"/>
    <x v="32"/>
    <s v="Eric Natividad"/>
    <x v="13"/>
    <n v="1"/>
    <n v="2611.84"/>
  </r>
  <r>
    <n v="10197"/>
    <x v="33"/>
    <s v="Eduardo  Saavedra"/>
    <x v="7"/>
    <n v="14"/>
    <n v="40473.86"/>
  </r>
  <r>
    <n v="10340"/>
    <x v="33"/>
    <s v="Eduardo  Saavedra"/>
    <x v="7"/>
    <n v="8"/>
    <n v="24945.21"/>
  </r>
  <r>
    <n v="10118"/>
    <x v="33"/>
    <s v="Eduardo  Saavedra"/>
    <x v="7"/>
    <n v="1"/>
    <n v="3101.4"/>
  </r>
  <r>
    <n v="10212"/>
    <x v="34"/>
    <s v="Diego  Freyre"/>
    <x v="7"/>
    <n v="16"/>
    <n v="59830.55"/>
  </r>
  <r>
    <n v="10262"/>
    <x v="34"/>
    <s v="Diego  Freyre"/>
    <x v="7"/>
    <n v="16"/>
    <n v="47065.36"/>
  </r>
  <r>
    <n v="10386"/>
    <x v="34"/>
    <s v="Diego  Freyre"/>
    <x v="7"/>
    <n v="18"/>
    <n v="46968.52"/>
  </r>
  <r>
    <n v="10412"/>
    <x v="34"/>
    <s v="Diego  Freyre"/>
    <x v="7"/>
    <n v="11"/>
    <n v="46895.48"/>
  </r>
  <r>
    <n v="10350"/>
    <x v="34"/>
    <s v="Diego  Freyre"/>
    <x v="7"/>
    <n v="17"/>
    <n v="46493.16"/>
  </r>
  <r>
    <n v="10153"/>
    <x v="34"/>
    <s v="Diego  Freyre"/>
    <x v="7"/>
    <n v="13"/>
    <n v="44939.85"/>
  </r>
  <r>
    <n v="10358"/>
    <x v="34"/>
    <s v="Diego  Freyre"/>
    <x v="7"/>
    <n v="14"/>
    <n v="44185.46"/>
  </r>
  <r>
    <n v="10104"/>
    <x v="34"/>
    <s v="Diego  Freyre"/>
    <x v="7"/>
    <n v="13"/>
    <n v="40206.199999999997"/>
  </r>
  <r>
    <n v="10203"/>
    <x v="34"/>
    <s v="Diego  Freyre"/>
    <x v="7"/>
    <n v="11"/>
    <n v="40062.53"/>
  </r>
  <r>
    <n v="10383"/>
    <x v="34"/>
    <s v="Diego  Freyre"/>
    <x v="7"/>
    <n v="13"/>
    <n v="36851.980000000003"/>
  </r>
  <r>
    <n v="10311"/>
    <x v="34"/>
    <s v="Diego  Freyre"/>
    <x v="7"/>
    <n v="11"/>
    <n v="36140.379999999997"/>
  </r>
  <r>
    <n v="10246"/>
    <x v="34"/>
    <s v="Diego  Freyre"/>
    <x v="7"/>
    <n v="11"/>
    <n v="35420.74"/>
  </r>
  <r>
    <n v="10380"/>
    <x v="34"/>
    <s v="Diego  Freyre"/>
    <x v="7"/>
    <n v="13"/>
    <n v="34404.21"/>
  </r>
  <r>
    <n v="10378"/>
    <x v="34"/>
    <s v="Diego  Freyre"/>
    <x v="7"/>
    <n v="10"/>
    <n v="32289.119999999999"/>
  </r>
  <r>
    <n v="10424"/>
    <x v="34"/>
    <s v="Diego  Freyre"/>
    <x v="7"/>
    <n v="6"/>
    <n v="29310.3"/>
  </r>
  <r>
    <n v="10417"/>
    <x v="34"/>
    <s v="Diego  Freyre"/>
    <x v="7"/>
    <n v="6"/>
    <n v="28574.9"/>
  </r>
  <r>
    <n v="10244"/>
    <x v="34"/>
    <s v="Diego  Freyre"/>
    <x v="7"/>
    <n v="9"/>
    <n v="26155.91"/>
  </r>
  <r>
    <n v="10355"/>
    <x v="34"/>
    <s v="Diego  Freyre"/>
    <x v="7"/>
    <n v="10"/>
    <n v="25529.78"/>
  </r>
  <r>
    <n v="10133"/>
    <x v="34"/>
    <s v="Diego  Freyre"/>
    <x v="7"/>
    <n v="8"/>
    <n v="22366.04"/>
  </r>
  <r>
    <n v="10279"/>
    <x v="34"/>
    <s v="Diego  Freyre"/>
    <x v="7"/>
    <n v="6"/>
    <n v="20009.53"/>
  </r>
  <r>
    <n v="10394"/>
    <x v="34"/>
    <s v="Diego  Freyre"/>
    <x v="7"/>
    <n v="7"/>
    <n v="18102.740000000002"/>
  </r>
  <r>
    <n v="10379"/>
    <x v="34"/>
    <s v="Diego  Freyre"/>
    <x v="7"/>
    <n v="5"/>
    <n v="16621.27"/>
  </r>
  <r>
    <n v="10128"/>
    <x v="34"/>
    <s v="Diego  Freyre"/>
    <x v="7"/>
    <n v="4"/>
    <n v="13884.99"/>
  </r>
  <r>
    <n v="10205"/>
    <x v="34"/>
    <s v="Diego  Freyre"/>
    <x v="7"/>
    <n v="5"/>
    <n v="13059.16"/>
  </r>
  <r>
    <n v="10190"/>
    <x v="34"/>
    <s v="Diego  Freyre"/>
    <x v="7"/>
    <n v="4"/>
    <n v="10721.86"/>
  </r>
  <r>
    <n v="10156"/>
    <x v="34"/>
    <s v="Diego  Freyre"/>
    <x v="7"/>
    <n v="2"/>
    <n v="4599.5200000000004"/>
  </r>
  <r>
    <n v="10268"/>
    <x v="35"/>
    <s v="Sarah McRoy"/>
    <x v="12"/>
    <n v="11"/>
    <n v="35034.57"/>
  </r>
  <r>
    <n v="10234"/>
    <x v="35"/>
    <s v="Sarah McRoy"/>
    <x v="12"/>
    <n v="9"/>
    <n v="31670.37"/>
  </r>
  <r>
    <n v="10418"/>
    <x v="35"/>
    <s v="Sarah McRoy"/>
    <x v="12"/>
    <n v="9"/>
    <n v="23627.439999999999"/>
  </r>
  <r>
    <n v="10157"/>
    <x v="36"/>
    <s v="Franco Ricotti"/>
    <x v="1"/>
    <n v="6"/>
    <n v="17746.259999999998"/>
  </r>
  <r>
    <n v="10218"/>
    <x v="36"/>
    <s v="Franco Ricotti"/>
    <x v="1"/>
    <n v="2"/>
    <n v="7612.06"/>
  </r>
  <r>
    <n v="10321"/>
    <x v="37"/>
    <s v="Violeta Benitez"/>
    <x v="3"/>
    <n v="15"/>
    <n v="48355.87"/>
  </r>
  <r>
    <n v="10388"/>
    <x v="37"/>
    <s v="Violeta Benitez"/>
    <x v="3"/>
    <n v="8"/>
    <n v="30293.77"/>
  </r>
  <r>
    <n v="10166"/>
    <x v="37"/>
    <s v="Violeta Benitez"/>
    <x v="3"/>
    <n v="3"/>
    <n v="9977.85"/>
  </r>
  <r>
    <n v="10263"/>
    <x v="38"/>
    <s v="Julie King"/>
    <x v="3"/>
    <n v="11"/>
    <n v="42044.77"/>
  </r>
  <r>
    <n v="10413"/>
    <x v="38"/>
    <s v="Julie King"/>
    <x v="3"/>
    <n v="6"/>
    <n v="28500.78"/>
  </r>
  <r>
    <n v="10172"/>
    <x v="38"/>
    <s v="Julie King"/>
    <x v="3"/>
    <n v="8"/>
    <n v="24879.08"/>
  </r>
  <r>
    <n v="10353"/>
    <x v="39"/>
    <s v="Dan Lewis"/>
    <x v="3"/>
    <n v="9"/>
    <n v="26304.13"/>
  </r>
  <r>
    <n v="10131"/>
    <x v="39"/>
    <s v="Dan Lewis"/>
    <x v="3"/>
    <n v="8"/>
    <n v="17032.29"/>
  </r>
  <r>
    <n v="10146"/>
    <x v="39"/>
    <s v="Dan Lewis"/>
    <x v="3"/>
    <n v="2"/>
    <n v="6631.36"/>
  </r>
  <r>
    <n v="10414"/>
    <x v="40"/>
    <s v="Juri Yoshido"/>
    <x v="3"/>
    <n v="14"/>
    <n v="50806.85"/>
  </r>
  <r>
    <n v="10264"/>
    <x v="40"/>
    <s v="Juri Yoshido"/>
    <x v="3"/>
    <n v="7"/>
    <n v="18473.71"/>
  </r>
  <r>
    <n v="10295"/>
    <x v="40"/>
    <s v="Juri Yoshido"/>
    <x v="3"/>
    <n v="5"/>
    <n v="15059.76"/>
  </r>
  <r>
    <n v="10316"/>
    <x v="41"/>
    <s v="Helen  Bennett"/>
    <x v="4"/>
    <n v="18"/>
    <n v="46788.14"/>
  </r>
  <r>
    <n v="10232"/>
    <x v="41"/>
    <s v="Helen  Bennett"/>
    <x v="4"/>
    <n v="8"/>
    <n v="24995.61"/>
  </r>
  <r>
    <n v="10260"/>
    <x v="42"/>
    <s v="Wales MacKinlay"/>
    <x v="12"/>
    <n v="10"/>
    <n v="37769.379999999997"/>
  </r>
  <r>
    <n v="10410"/>
    <x v="42"/>
    <s v="Wales MacKinlay"/>
    <x v="12"/>
    <n v="9"/>
    <n v="36442.339999999997"/>
  </r>
  <r>
    <n v="10202"/>
    <x v="42"/>
    <s v="Wales MacKinlay"/>
    <x v="12"/>
    <n v="7"/>
    <n v="20220.04"/>
  </r>
  <r>
    <n v="10259"/>
    <x v="43"/>
    <s v="Wendy Victorino"/>
    <x v="13"/>
    <n v="13"/>
    <n v="44160.92"/>
  </r>
  <r>
    <n v="10288"/>
    <x v="43"/>
    <s v="Wendy Victorino"/>
    <x v="13"/>
    <n v="14"/>
    <n v="38785.480000000003"/>
  </r>
  <r>
    <n v="10217"/>
    <x v="43"/>
    <s v="Wendy Victorino"/>
    <x v="13"/>
    <n v="7"/>
    <n v="22474.17"/>
  </r>
  <r>
    <n v="10409"/>
    <x v="43"/>
    <s v="Wendy Victorino"/>
    <x v="13"/>
    <n v="2"/>
    <n v="2326.1799999999998"/>
  </r>
  <r>
    <n v="10314"/>
    <x v="44"/>
    <s v="Palle Ibsen"/>
    <x v="11"/>
    <n v="15"/>
    <n v="53745.34"/>
  </r>
  <r>
    <n v="10161"/>
    <x v="44"/>
    <s v="Palle Ibsen"/>
    <x v="11"/>
    <n v="12"/>
    <n v="36164.46"/>
  </r>
  <r>
    <n v="10181"/>
    <x v="45"/>
    <s v="Veysel Oeztan"/>
    <x v="14"/>
    <n v="17"/>
    <n v="55069.55"/>
  </r>
  <r>
    <n v="10188"/>
    <x v="45"/>
    <s v="Veysel Oeztan"/>
    <x v="14"/>
    <n v="8"/>
    <n v="29954.91"/>
  </r>
  <r>
    <n v="10289"/>
    <x v="45"/>
    <s v="Veysel Oeztan"/>
    <x v="14"/>
    <n v="4"/>
    <n v="12538.01"/>
  </r>
  <r>
    <n v="10184"/>
    <x v="46"/>
    <s v="Jos  Pedro  Roel"/>
    <x v="7"/>
    <n v="13"/>
    <n v="47513.19"/>
  </r>
  <r>
    <n v="10303"/>
    <x v="46"/>
    <s v="Jos  Pedro  Roel"/>
    <x v="7"/>
    <n v="2"/>
    <n v="3474.66"/>
  </r>
  <r>
    <n v="10360"/>
    <x v="47"/>
    <s v="Tony Snowden"/>
    <x v="12"/>
    <n v="18"/>
    <n v="52166"/>
  </r>
  <r>
    <n v="10138"/>
    <x v="47"/>
    <s v="Tony Snowden"/>
    <x v="12"/>
    <n v="13"/>
    <n v="32077.439999999999"/>
  </r>
  <r>
    <n v="10399"/>
    <x v="47"/>
    <s v="Tony Snowden"/>
    <x v="12"/>
    <n v="8"/>
    <n v="30253.75"/>
  </r>
  <r>
    <n v="10179"/>
    <x v="47"/>
    <s v="Tony Snowden"/>
    <x v="12"/>
    <n v="9"/>
    <n v="22963.599999999999"/>
  </r>
  <r>
    <n v="10187"/>
    <x v="48"/>
    <s v="Mike Gao"/>
    <x v="15"/>
    <n v="10"/>
    <n v="28287.73"/>
  </r>
  <r>
    <n v="10200"/>
    <x v="48"/>
    <s v="Mike Gao"/>
    <x v="15"/>
    <n v="6"/>
    <n v="17193.060000000001"/>
  </r>
  <r>
    <n v="10336"/>
    <x v="49"/>
    <s v="Marie Bertrand"/>
    <x v="0"/>
    <n v="12"/>
    <n v="51209.58"/>
  </r>
  <r>
    <n v="10114"/>
    <x v="49"/>
    <s v="Marie Bertrand"/>
    <x v="0"/>
    <n v="10"/>
    <n v="33383.14"/>
  </r>
  <r>
    <n v="10286"/>
    <x v="49"/>
    <s v="Marie Bertrand"/>
    <x v="0"/>
    <n v="1"/>
    <n v="1960.8"/>
  </r>
  <r>
    <n v="10375"/>
    <x v="50"/>
    <s v="Janine  Labrune"/>
    <x v="0"/>
    <n v="15"/>
    <n v="49523.67"/>
  </r>
  <r>
    <n v="10275"/>
    <x v="50"/>
    <s v="Janine  Labrune"/>
    <x v="0"/>
    <n v="18"/>
    <n v="47924.19"/>
  </r>
  <r>
    <n v="10425"/>
    <x v="50"/>
    <s v="Janine  Labrune"/>
    <x v="0"/>
    <n v="13"/>
    <n v="41623.440000000002"/>
  </r>
  <r>
    <n v="10315"/>
    <x v="50"/>
    <s v="Janine  Labrune"/>
    <x v="0"/>
    <n v="7"/>
    <n v="19501.82"/>
  </r>
  <r>
    <n v="10329"/>
    <x v="51"/>
    <s v="Kwai Lee"/>
    <x v="3"/>
    <n v="15"/>
    <n v="50025.35"/>
  </r>
  <r>
    <n v="10248"/>
    <x v="51"/>
    <s v="Kwai Lee"/>
    <x v="3"/>
    <n v="14"/>
    <n v="41445.21"/>
  </r>
  <r>
    <n v="10292"/>
    <x v="51"/>
    <s v="Kwai Lee"/>
    <x v="3"/>
    <n v="12"/>
    <n v="35321.97"/>
  </r>
  <r>
    <n v="10107"/>
    <x v="51"/>
    <s v="Kwai Lee"/>
    <x v="3"/>
    <n v="8"/>
    <n v="22292.62"/>
  </r>
  <r>
    <n v="10266"/>
    <x v="52"/>
    <s v="Maurizio  Moroni"/>
    <x v="1"/>
    <n v="15"/>
    <n v="51619.02"/>
  </r>
  <r>
    <n v="10176"/>
    <x v="52"/>
    <s v="Maurizio  Moroni"/>
    <x v="1"/>
    <n v="10"/>
    <n v="38524.29"/>
  </r>
  <r>
    <n v="10416"/>
    <x v="52"/>
    <s v="Maurizio  Moroni"/>
    <x v="1"/>
    <n v="14"/>
    <n v="35362.26"/>
  </r>
  <r>
    <n v="10356"/>
    <x v="53"/>
    <s v="Daniel Da Silva"/>
    <x v="0"/>
    <n v="9"/>
    <n v="26311.63"/>
  </r>
  <r>
    <n v="10134"/>
    <x v="53"/>
    <s v="Daniel Da Silva"/>
    <x v="0"/>
    <n v="7"/>
    <n v="23419.47"/>
  </r>
  <r>
    <n v="10395"/>
    <x v="53"/>
    <s v="Daniel Da Silva"/>
    <x v="0"/>
    <n v="4"/>
    <n v="17928.09"/>
  </r>
  <r>
    <n v="10122"/>
    <x v="54"/>
    <s v="Laurence  Lebihan"/>
    <x v="0"/>
    <n v="17"/>
    <n v="50824.66"/>
  </r>
  <r>
    <n v="10344"/>
    <x v="54"/>
    <s v="Laurence  Lebihan"/>
    <x v="0"/>
    <n v="7"/>
    <n v="18888.310000000001"/>
  </r>
  <r>
    <n v="10364"/>
    <x v="54"/>
    <s v="Laurence  Lebihan"/>
    <x v="0"/>
    <n v="1"/>
    <n v="1834.56"/>
  </r>
  <r>
    <n v="10305"/>
    <x v="55"/>
    <s v="Marta Hernandez"/>
    <x v="3"/>
    <n v="14"/>
    <n v="47411.33"/>
  </r>
  <r>
    <n v="10285"/>
    <x v="55"/>
    <s v="Marta Hernandez"/>
    <x v="3"/>
    <n v="13"/>
    <n v="43134.04"/>
  </r>
  <r>
    <n v="10209"/>
    <x v="56"/>
    <s v="Brian Chandler"/>
    <x v="3"/>
    <n v="8"/>
    <n v="21053.69"/>
  </r>
  <r>
    <n v="10160"/>
    <x v="56"/>
    <s v="Brian Chandler"/>
    <x v="3"/>
    <n v="6"/>
    <n v="20452.5"/>
  </r>
  <r>
    <n v="10319"/>
    <x v="57"/>
    <s v="Yu Choi"/>
    <x v="3"/>
    <n v="9"/>
    <n v="27550.51"/>
  </r>
  <r>
    <n v="10242"/>
    <x v="57"/>
    <s v="Yu Choi"/>
    <x v="3"/>
    <n v="1"/>
    <n v="1679.92"/>
  </r>
  <r>
    <n v="10164"/>
    <x v="58"/>
    <s v="Roland  Mendel"/>
    <x v="16"/>
    <n v="8"/>
    <n v="27121.9"/>
  </r>
  <r>
    <n v="10170"/>
    <x v="58"/>
    <s v="Roland  Mendel"/>
    <x v="16"/>
    <n v="4"/>
    <n v="15130.97"/>
  </r>
  <r>
    <n v="10392"/>
    <x v="58"/>
    <s v="Roland  Mendel"/>
    <x v="16"/>
    <n v="3"/>
    <n v="8807.1200000000008"/>
  </r>
  <r>
    <n v="10241"/>
    <x v="59"/>
    <s v="Fr d rique  Citeaux"/>
    <x v="0"/>
    <n v="12"/>
    <n v="36069.26"/>
  </r>
  <r>
    <n v="10405"/>
    <x v="59"/>
    <s v="Fr d rique  Citeaux"/>
    <x v="0"/>
    <n v="5"/>
    <n v="35157.75"/>
  </r>
  <r>
    <n v="10255"/>
    <x v="59"/>
    <s v="Fr d rique  Citeaux"/>
    <x v="0"/>
    <n v="2"/>
    <n v="4632.3100000000004"/>
  </r>
  <r>
    <n v="10308"/>
    <x v="60"/>
    <s v="Steve Frick"/>
    <x v="3"/>
    <n v="16"/>
    <n v="42339.76"/>
  </r>
  <r>
    <n v="10195"/>
    <x v="60"/>
    <s v="Steve Frick"/>
    <x v="3"/>
    <n v="10"/>
    <n v="36092.400000000001"/>
  </r>
  <r>
    <n v="10185"/>
    <x v="61"/>
    <s v="Wing Huang"/>
    <x v="3"/>
    <n v="16"/>
    <n v="52548.49"/>
  </r>
  <r>
    <n v="10143"/>
    <x v="61"/>
    <s v="Wing Huang"/>
    <x v="3"/>
    <n v="16"/>
    <n v="41016.75"/>
  </r>
  <r>
    <n v="10365"/>
    <x v="61"/>
    <s v="Wing Huang"/>
    <x v="3"/>
    <n v="3"/>
    <n v="8307.2800000000007"/>
  </r>
  <r>
    <n v="10142"/>
    <x v="62"/>
    <s v="Susan Nelson"/>
    <x v="3"/>
    <n v="16"/>
    <n v="56052.56"/>
  </r>
  <r>
    <n v="10390"/>
    <x v="62"/>
    <s v="Susan Nelson"/>
    <x v="3"/>
    <n v="16"/>
    <n v="55902.5"/>
  </r>
  <r>
    <n v="10312"/>
    <x v="62"/>
    <s v="Susan Nelson"/>
    <x v="3"/>
    <n v="17"/>
    <n v="55639.66"/>
  </r>
  <r>
    <n v="10135"/>
    <x v="62"/>
    <s v="Susan Nelson"/>
    <x v="3"/>
    <n v="17"/>
    <n v="55601.84"/>
  </r>
  <r>
    <n v="10282"/>
    <x v="62"/>
    <s v="Susan Nelson"/>
    <x v="3"/>
    <n v="13"/>
    <n v="47979.98"/>
  </r>
  <r>
    <n v="10382"/>
    <x v="62"/>
    <s v="Susan Nelson"/>
    <x v="3"/>
    <n v="13"/>
    <n v="47765.59"/>
  </r>
  <r>
    <n v="10182"/>
    <x v="62"/>
    <s v="Susan Nelson"/>
    <x v="3"/>
    <n v="17"/>
    <n v="45084.38"/>
  </r>
  <r>
    <n v="10229"/>
    <x v="62"/>
    <s v="Susan Nelson"/>
    <x v="3"/>
    <n v="14"/>
    <n v="43369.3"/>
  </r>
  <r>
    <n v="10357"/>
    <x v="62"/>
    <s v="Susan Nelson"/>
    <x v="3"/>
    <n v="10"/>
    <n v="40676.26"/>
  </r>
  <r>
    <n v="10271"/>
    <x v="62"/>
    <s v="Susan Nelson"/>
    <x v="3"/>
    <n v="11"/>
    <n v="37430.89"/>
  </r>
  <r>
    <n v="10371"/>
    <x v="62"/>
    <s v="Susan Nelson"/>
    <x v="3"/>
    <n v="12"/>
    <n v="35137.54"/>
  </r>
  <r>
    <n v="10396"/>
    <x v="62"/>
    <s v="Susan Nelson"/>
    <x v="3"/>
    <n v="8"/>
    <n v="27695.54"/>
  </r>
  <r>
    <n v="10368"/>
    <x v="62"/>
    <s v="Susan Nelson"/>
    <x v="3"/>
    <n v="5"/>
    <n v="13874.75"/>
  </r>
  <r>
    <n v="10113"/>
    <x v="62"/>
    <s v="Susan Nelson"/>
    <x v="3"/>
    <n v="4"/>
    <n v="11044.3"/>
  </r>
  <r>
    <n v="10421"/>
    <x v="62"/>
    <s v="Susan Nelson"/>
    <x v="3"/>
    <n v="2"/>
    <n v="7639.1"/>
  </r>
  <r>
    <n v="10335"/>
    <x v="62"/>
    <s v="Susan Nelson"/>
    <x v="3"/>
    <n v="3"/>
    <n v="6466.44"/>
  </r>
  <r>
    <n v="10385"/>
    <x v="62"/>
    <s v="Susan Nelson"/>
    <x v="3"/>
    <n v="2"/>
    <n v="4466.71"/>
  </r>
  <r>
    <n v="10333"/>
    <x v="63"/>
    <s v="Julie Murphy"/>
    <x v="3"/>
    <n v="8"/>
    <n v="26248.78"/>
  </r>
  <r>
    <n v="10201"/>
    <x v="63"/>
    <s v="Julie Murphy"/>
    <x v="3"/>
    <n v="7"/>
    <n v="23923.93"/>
  </r>
  <r>
    <n v="10111"/>
    <x v="63"/>
    <s v="Julie Murphy"/>
    <x v="3"/>
    <n v="6"/>
    <n v="16537.849999999999"/>
  </r>
  <r>
    <n v="10331"/>
    <x v="64"/>
    <s v="Rosa Salazar"/>
    <x v="3"/>
    <n v="14"/>
    <n v="45994.07"/>
  </r>
  <r>
    <n v="10109"/>
    <x v="64"/>
    <s v="Rosa Salazar"/>
    <x v="3"/>
    <n v="6"/>
    <n v="25833.14"/>
  </r>
  <r>
    <n v="10236"/>
    <x v="64"/>
    <s v="Rosa Salazar"/>
    <x v="3"/>
    <n v="3"/>
    <n v="5899.38"/>
  </r>
  <r>
    <n v="10127"/>
    <x v="65"/>
    <s v="Jeff Young"/>
    <x v="3"/>
    <n v="15"/>
    <n v="58841.35"/>
  </r>
  <r>
    <n v="10204"/>
    <x v="65"/>
    <s v="Jeff Young"/>
    <x v="3"/>
    <n v="17"/>
    <n v="58793.53"/>
  </r>
  <r>
    <n v="10349"/>
    <x v="65"/>
    <s v="Jeff Young"/>
    <x v="3"/>
    <n v="10"/>
    <n v="39964.629999999997"/>
  </r>
  <r>
    <n v="10267"/>
    <x v="65"/>
    <s v="Jeff Young"/>
    <x v="3"/>
    <n v="6"/>
    <n v="20314.439999999999"/>
  </r>
  <r>
    <n v="10301"/>
    <x v="66"/>
    <s v="Jan Klaeboe"/>
    <x v="14"/>
    <n v="11"/>
    <n v="36798.879999999997"/>
  </r>
  <r>
    <n v="10284"/>
    <x v="66"/>
    <s v="Jan Klaeboe"/>
    <x v="14"/>
    <n v="13"/>
    <n v="32260.16"/>
  </r>
  <r>
    <n v="10192"/>
    <x v="67"/>
    <s v="Dorothy Young"/>
    <x v="3"/>
    <n v="16"/>
    <n v="55425.77"/>
  </r>
  <r>
    <n v="10322"/>
    <x v="67"/>
    <s v="Dorothy Young"/>
    <x v="3"/>
    <n v="14"/>
    <n v="50799.69"/>
  </r>
  <r>
    <n v="10100"/>
    <x v="67"/>
    <s v="Dorothy Young"/>
    <x v="3"/>
    <n v="4"/>
    <n v="10223.83"/>
  </r>
  <r>
    <n v="10276"/>
    <x v="68"/>
    <s v="Miguel Barajas"/>
    <x v="3"/>
    <n v="14"/>
    <n v="51152.86"/>
  </r>
  <r>
    <n v="10294"/>
    <x v="68"/>
    <s v="Miguel Barajas"/>
    <x v="3"/>
    <n v="1"/>
    <n v="4424.3999999999996"/>
  </r>
  <r>
    <n v="10210"/>
    <x v="69"/>
    <s v="Mory Kentary"/>
    <x v="17"/>
    <n v="17"/>
    <n v="47177.59"/>
  </r>
  <r>
    <n v="10240"/>
    <x v="69"/>
    <s v="Mory Kentary"/>
    <x v="17"/>
    <n v="3"/>
    <n v="15183.63"/>
  </r>
  <r>
    <n v="10373"/>
    <x v="70"/>
    <s v="Pirkko Koskitalo"/>
    <x v="18"/>
    <n v="17"/>
    <n v="46770.52"/>
  </r>
  <r>
    <n v="10151"/>
    <x v="70"/>
    <s v="Pirkko Koskitalo"/>
    <x v="18"/>
    <n v="10"/>
    <n v="32723.040000000001"/>
  </r>
  <r>
    <n v="10239"/>
    <x v="70"/>
    <s v="Pirkko Koskitalo"/>
    <x v="18"/>
    <n v="5"/>
    <n v="16212.59"/>
  </r>
  <r>
    <n v="10273"/>
    <x v="71"/>
    <s v="Catherine  Dewey"/>
    <x v="19"/>
    <n v="15"/>
    <n v="45352.47"/>
  </r>
  <r>
    <n v="10221"/>
    <x v="71"/>
    <s v="Catherine  Dewey"/>
    <x v="19"/>
    <n v="5"/>
    <n v="16901.38"/>
  </r>
  <r>
    <n v="10423"/>
    <x v="71"/>
    <s v="Catherine  Dewey"/>
    <x v="19"/>
    <n v="5"/>
    <n v="8597.73"/>
  </r>
  <r>
    <n v="10411"/>
    <x v="72"/>
    <s v="Jean  Fresni re"/>
    <x v="8"/>
    <n v="9"/>
    <n v="29070.38"/>
  </r>
  <r>
    <n v="10261"/>
    <x v="72"/>
    <s v="Jean  Fresni re"/>
    <x v="8"/>
    <n v="9"/>
    <n v="22997.45"/>
  </r>
  <r>
    <n v="10171"/>
    <x v="72"/>
    <s v="Jean  Fresni re"/>
    <x v="8"/>
    <n v="4"/>
    <n v="16909.84"/>
  </r>
  <r>
    <n v="10398"/>
    <x v="73"/>
    <s v="Paul  Henriot"/>
    <x v="0"/>
    <n v="18"/>
    <n v="46656.94"/>
  </r>
  <r>
    <n v="10359"/>
    <x v="73"/>
    <s v="Paul  Henriot"/>
    <x v="0"/>
    <n v="8"/>
    <n v="32600.61"/>
  </r>
  <r>
    <n v="10343"/>
    <x v="73"/>
    <s v="Paul  Henriot"/>
    <x v="0"/>
    <n v="6"/>
    <n v="17104.91"/>
  </r>
  <r>
    <n v="10121"/>
    <x v="73"/>
    <s v="Paul  Henriot"/>
    <x v="0"/>
    <n v="5"/>
    <n v="16700.47"/>
  </r>
  <r>
    <n v="10137"/>
    <x v="73"/>
    <s v="Paul  Henriot"/>
    <x v="0"/>
    <n v="4"/>
    <n v="13920.26"/>
  </r>
  <r>
    <n v="10106"/>
    <x v="74"/>
    <s v="Giovanni  Rovelli"/>
    <x v="1"/>
    <n v="18"/>
    <n v="52151.81"/>
  </r>
  <r>
    <n v="10173"/>
    <x v="74"/>
    <s v="Giovanni  Rovelli"/>
    <x v="1"/>
    <n v="16"/>
    <n v="37723.79"/>
  </r>
  <r>
    <n v="10328"/>
    <x v="74"/>
    <s v="Giovanni  Rovelli"/>
    <x v="1"/>
    <n v="14"/>
    <n v="37654.089999999997"/>
  </r>
  <r>
    <n v="10283"/>
    <x v="75"/>
    <s v="Elizabeth  Lincoln"/>
    <x v="8"/>
    <n v="14"/>
    <n v="37527.58"/>
  </r>
  <r>
    <n v="10235"/>
    <x v="75"/>
    <s v="Elizabeth  Lincoln"/>
    <x v="8"/>
    <n v="12"/>
    <n v="29284.42"/>
  </r>
  <r>
    <n v="10366"/>
    <x v="76"/>
    <s v="Pascale  Cartrain"/>
    <x v="19"/>
    <n v="3"/>
    <n v="14379.9"/>
  </r>
  <r>
    <n v="10338"/>
    <x v="76"/>
    <s v="Pascale  Cartrain"/>
    <x v="19"/>
    <n v="3"/>
    <n v="12081.52"/>
  </r>
  <r>
    <n v="10116"/>
    <x v="76"/>
    <s v="Pascale  Cartrain"/>
    <x v="19"/>
    <n v="1"/>
    <n v="1627.56"/>
  </r>
  <r>
    <n v="10144"/>
    <x v="76"/>
    <s v="Pascale  Cartrain"/>
    <x v="19"/>
    <n v="1"/>
    <n v="1128.2"/>
  </r>
  <r>
    <n v="10419"/>
    <x v="77"/>
    <s v="Georg  Pipps"/>
    <x v="16"/>
    <n v="14"/>
    <n v="52420.07"/>
  </r>
  <r>
    <n v="10341"/>
    <x v="77"/>
    <s v="Georg  Pipps"/>
    <x v="16"/>
    <n v="10"/>
    <n v="42813.83"/>
  </r>
  <r>
    <n v="10119"/>
    <x v="77"/>
    <s v="Georg  Pipps"/>
    <x v="16"/>
    <n v="14"/>
    <n v="35826.33"/>
  </r>
  <r>
    <n v="10269"/>
    <x v="77"/>
    <s v="Georg  Pipps"/>
    <x v="16"/>
    <n v="2"/>
    <n v="6419.84"/>
  </r>
  <r>
    <n v="10208"/>
    <x v="78"/>
    <s v="Mary  Saveley"/>
    <x v="0"/>
    <n v="15"/>
    <n v="49614.720000000001"/>
  </r>
  <r>
    <n v="10227"/>
    <x v="78"/>
    <s v="Mary  Saveley"/>
    <x v="0"/>
    <n v="15"/>
    <n v="40978.53"/>
  </r>
  <r>
    <n v="10194"/>
    <x v="78"/>
    <s v="Mary  Saveley"/>
    <x v="0"/>
    <n v="11"/>
    <n v="39712.1"/>
  </r>
  <r>
    <n v="10291"/>
    <x v="79"/>
    <s v="Martha Larsson"/>
    <x v="20"/>
    <n v="14"/>
    <n v="48809.9"/>
  </r>
  <r>
    <n v="10167"/>
    <x v="79"/>
    <s v="Martha Larsson"/>
    <x v="20"/>
    <n v="16"/>
    <n v="44167.09"/>
  </r>
  <r>
    <n v="10389"/>
    <x v="79"/>
    <s v="Martha Larsson"/>
    <x v="20"/>
    <n v="8"/>
    <n v="27966.54"/>
  </r>
  <r>
    <n v="10149"/>
    <x v="80"/>
    <s v="Sue Taylor"/>
    <x v="3"/>
    <n v="11"/>
    <n v="29997.09"/>
  </r>
  <r>
    <n v="10219"/>
    <x v="80"/>
    <s v="Sue Taylor"/>
    <x v="3"/>
    <n v="4"/>
    <n v="12573.28"/>
  </r>
  <r>
    <n v="10278"/>
    <x v="81"/>
    <s v="Jean King"/>
    <x v="3"/>
    <n v="10"/>
    <n v="33347.879999999997"/>
  </r>
  <r>
    <n v="10124"/>
    <x v="81"/>
    <s v="Jean King"/>
    <x v="3"/>
    <n v="13"/>
    <n v="32641.98"/>
  </r>
  <r>
    <n v="10346"/>
    <x v="81"/>
    <s v="Jean King"/>
    <x v="3"/>
    <n v="6"/>
    <n v="14191.12"/>
  </r>
  <r>
    <n v="10420"/>
    <x v="82"/>
    <s v="Adrian Huxley"/>
    <x v="2"/>
    <n v="13"/>
    <n v="42251.51"/>
  </r>
  <r>
    <n v="10270"/>
    <x v="82"/>
    <s v="Adrian Huxley"/>
    <x v="2"/>
    <n v="11"/>
    <n v="35806.730000000003"/>
  </r>
  <r>
    <n v="10361"/>
    <x v="82"/>
    <s v="Adrian Huxley"/>
    <x v="2"/>
    <n v="14"/>
    <n v="31835.360000000001"/>
  </r>
  <r>
    <n v="10139"/>
    <x v="82"/>
    <s v="Adrian Huxley"/>
    <x v="2"/>
    <n v="8"/>
    <n v="24013.52"/>
  </r>
  <r>
    <n v="10175"/>
    <x v="83"/>
    <s v="Ann  Brown"/>
    <x v="4"/>
    <n v="12"/>
    <n v="37455.769999999997"/>
  </r>
  <r>
    <n v="10129"/>
    <x v="83"/>
    <s v="Ann  Brown"/>
    <x v="4"/>
    <n v="9"/>
    <n v="29429.14"/>
  </r>
  <r>
    <n v="10351"/>
    <x v="83"/>
    <s v="Ann  Brown"/>
    <x v="4"/>
    <n v="5"/>
    <n v="13671.82"/>
  </r>
  <r>
    <n v="10363"/>
    <x v="84"/>
    <s v="Kalle Suominen"/>
    <x v="18"/>
    <n v="15"/>
    <n v="45785.34"/>
  </r>
  <r>
    <n v="10141"/>
    <x v="84"/>
    <s v="Kalle Suominen"/>
    <x v="18"/>
    <n v="9"/>
    <n v="29716.86"/>
  </r>
  <r>
    <n v="10247"/>
    <x v="84"/>
    <s v="Kalle Suominen"/>
    <x v="18"/>
    <n v="6"/>
    <n v="28394.54"/>
  </r>
  <r>
    <n v="10196"/>
    <x v="85"/>
    <s v="Leslie Murphy"/>
    <x v="3"/>
    <n v="8"/>
    <n v="38139.18"/>
  </r>
  <r>
    <n v="10245"/>
    <x v="85"/>
    <s v="Leslie Murphy"/>
    <x v="3"/>
    <n v="9"/>
    <n v="32239.47"/>
  </r>
  <r>
    <n v="10168"/>
    <x v="86"/>
    <s v="Juri Hashimoto"/>
    <x v="3"/>
    <n v="18"/>
    <n v="50743.65"/>
  </r>
  <r>
    <n v="10140"/>
    <x v="86"/>
    <s v="Juri Hashimoto"/>
    <x v="3"/>
    <n v="11"/>
    <n v="38675.129999999997"/>
  </r>
  <r>
    <n v="10362"/>
    <x v="86"/>
    <s v="Juri Hashimoto"/>
    <x v="3"/>
    <n v="4"/>
    <n v="12692.19"/>
  </r>
  <r>
    <n v="10317"/>
    <x v="86"/>
    <s v="Juri Hashimoto"/>
    <x v="3"/>
    <n v="1"/>
    <n v="2434.25"/>
  </r>
  <r>
    <n v="10401"/>
    <x v="87"/>
    <s v="William Brown"/>
    <x v="3"/>
    <n v="12"/>
    <n v="43525.04"/>
  </r>
  <r>
    <n v="10251"/>
    <x v="87"/>
    <s v="William Brown"/>
    <x v="3"/>
    <n v="6"/>
    <n v="31102.85"/>
  </r>
  <r>
    <n v="10233"/>
    <x v="87"/>
    <s v="William Brown"/>
    <x v="3"/>
    <n v="3"/>
    <n v="7178.66"/>
  </r>
  <r>
    <n v="10407"/>
    <x v="88"/>
    <s v="Sue Frick"/>
    <x v="3"/>
    <n v="12"/>
    <n v="52229.55"/>
  </r>
  <r>
    <n v="10250"/>
    <x v="88"/>
    <s v="Sue Frick"/>
    <x v="3"/>
    <n v="14"/>
    <n v="42798.080000000002"/>
  </r>
  <r>
    <n v="10400"/>
    <x v="88"/>
    <s v="Sue Frick"/>
    <x v="3"/>
    <n v="9"/>
    <n v="31755.34"/>
  </r>
  <r>
    <n v="10257"/>
    <x v="88"/>
    <s v="Sue Frick"/>
    <x v="3"/>
    <n v="5"/>
    <n v="16753.3"/>
  </r>
  <r>
    <n v="10339"/>
    <x v="89"/>
    <s v="Akiko Shimamura"/>
    <x v="17"/>
    <n v="16"/>
    <n v="48927.64"/>
  </r>
  <r>
    <n v="10372"/>
    <x v="89"/>
    <s v="Akiko Shimamura"/>
    <x v="17"/>
    <n v="9"/>
    <n v="33967.730000000003"/>
  </r>
  <r>
    <n v="10258"/>
    <x v="89"/>
    <s v="Akiko Shimamura"/>
    <x v="17"/>
    <n v="6"/>
    <n v="22037.91"/>
  </r>
  <r>
    <n v="10408"/>
    <x v="89"/>
    <s v="Akiko Shimamura"/>
    <x v="17"/>
    <n v="1"/>
    <n v="615.45000000000005"/>
  </r>
  <r>
    <n v="10310"/>
    <x v="90"/>
    <s v="Henriette  Pfalzheim"/>
    <x v="6"/>
    <n v="17"/>
    <n v="61234.67"/>
  </r>
  <r>
    <n v="10191"/>
    <x v="90"/>
    <s v="Henriette  Pfalzheim"/>
    <x v="6"/>
    <n v="9"/>
    <n v="27988.47"/>
  </r>
  <r>
    <n v="10155"/>
    <x v="91"/>
    <s v="Matti Karttunen"/>
    <x v="18"/>
    <n v="13"/>
    <n v="37602.480000000003"/>
  </r>
  <r>
    <n v="10299"/>
    <x v="91"/>
    <s v="Matti Karttunen"/>
    <x v="18"/>
    <n v="11"/>
    <n v="34341.08"/>
  </r>
  <r>
    <n v="10377"/>
    <x v="91"/>
    <s v="Matti Karttunen"/>
    <x v="18"/>
    <n v="6"/>
    <n v="23602.9"/>
  </r>
  <r>
    <n v="10145"/>
    <x v="92"/>
    <s v="Julie Young"/>
    <x v="3"/>
    <n v="16"/>
    <n v="50342.74"/>
  </r>
  <r>
    <n v="10367"/>
    <x v="92"/>
    <s v="Julie Young"/>
    <x v="3"/>
    <n v="13"/>
    <n v="39580.6"/>
  </r>
  <r>
    <n v="10189"/>
    <x v="92"/>
    <s v="Julie Young"/>
    <x v="3"/>
    <n v="1"/>
    <n v="3879.96"/>
  </r>
  <r>
    <n v="10253"/>
    <x v="93"/>
    <s v="Elizabeth Devon"/>
    <x v="4"/>
    <n v="14"/>
    <n v="45443.54"/>
  </r>
  <r>
    <n v="10403"/>
    <x v="93"/>
    <s v="Elizabeth Devon"/>
    <x v="4"/>
    <n v="9"/>
    <n v="37258.94"/>
  </r>
  <r>
    <n v="10302"/>
    <x v="93"/>
    <s v="Elizabeth Devon"/>
    <x v="4"/>
    <n v="6"/>
    <n v="23908.240000000002"/>
  </r>
  <r>
    <n v="10287"/>
    <x v="94"/>
    <s v="Mihael Holz"/>
    <x v="21"/>
    <n v="17"/>
    <n v="61402"/>
  </r>
  <r>
    <n v="10225"/>
    <x v="94"/>
    <s v="Mihael Holz"/>
    <x v="21"/>
    <n v="14"/>
    <n v="47375.92"/>
  </r>
  <r>
    <n v="10324"/>
    <x v="95"/>
    <s v="Michael Frick"/>
    <x v="3"/>
    <n v="14"/>
    <n v="44400.5"/>
  </r>
  <r>
    <n v="10237"/>
    <x v="95"/>
    <s v="Michael Frick"/>
    <x v="3"/>
    <n v="9"/>
    <n v="22602.36"/>
  </r>
  <r>
    <n v="10102"/>
    <x v="95"/>
    <s v="Michael Frick"/>
    <x v="3"/>
    <n v="2"/>
    <n v="5494.78"/>
  </r>
  <r>
    <n v="10334"/>
    <x v="96"/>
    <s v="Christina  Berglund"/>
    <x v="20"/>
    <n v="6"/>
    <n v="23014.17"/>
  </r>
  <r>
    <n v="10326"/>
    <x v="96"/>
    <s v="Christina  Berglund"/>
    <x v="20"/>
    <n v="6"/>
    <n v="19206.68"/>
  </r>
  <r>
    <n v="10320"/>
    <x v="96"/>
    <s v="Christina  Berglund"/>
    <x v="20"/>
    <n v="5"/>
    <n v="16799.03"/>
  </r>
  <r>
    <n v="10112"/>
    <x v="96"/>
    <s v="Christina  Berglund"/>
    <x v="20"/>
    <n v="2"/>
    <n v="7674.94"/>
  </r>
  <r>
    <n v="10215"/>
    <x v="97"/>
    <s v="Steve Thompson"/>
    <x v="3"/>
    <n v="10"/>
    <n v="36070.47"/>
  </r>
  <r>
    <n v="10199"/>
    <x v="97"/>
    <s v="Steve Thompson"/>
    <x v="3"/>
    <n v="3"/>
    <n v="7678.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x v="0"/>
    <n v="3"/>
    <n v="60483.360000000001"/>
    <n v="61100"/>
    <x v="0"/>
  </r>
  <r>
    <x v="1"/>
    <x v="1"/>
    <n v="2"/>
    <n v="82223.23"/>
    <n v="113000"/>
    <x v="1"/>
  </r>
  <r>
    <x v="2"/>
    <x v="2"/>
    <n v="4"/>
    <n v="137034.22"/>
    <n v="107800"/>
    <x v="1"/>
  </r>
  <r>
    <x v="3"/>
    <x v="0"/>
    <n v="3"/>
    <n v="22314.36"/>
    <n v="21000"/>
    <x v="2"/>
  </r>
  <r>
    <x v="4"/>
    <x v="2"/>
    <n v="3"/>
    <n v="55866.02"/>
    <n v="60300"/>
    <x v="0"/>
  </r>
  <r>
    <x v="5"/>
    <x v="2"/>
    <n v="5"/>
    <n v="180585.07"/>
    <n v="117300"/>
    <x v="1"/>
  </r>
  <r>
    <x v="6"/>
    <x v="2"/>
    <n v="3"/>
    <n v="55190.16"/>
    <n v="51600"/>
    <x v="0"/>
  </r>
  <r>
    <x v="7"/>
    <x v="0"/>
    <n v="2"/>
    <n v="58876.41"/>
    <n v="77900"/>
    <x v="3"/>
  </r>
  <r>
    <x v="8"/>
    <x v="0"/>
    <n v="3"/>
    <n v="86436.97"/>
    <n v="95000"/>
    <x v="3"/>
  </r>
  <r>
    <x v="9"/>
    <x v="3"/>
    <n v="3"/>
    <n v="21554.26"/>
    <n v="23000"/>
    <x v="2"/>
  </r>
  <r>
    <x v="10"/>
    <x v="4"/>
    <n v="3"/>
    <n v="148410.09"/>
    <n v="136800"/>
    <x v="4"/>
  </r>
  <r>
    <x v="11"/>
    <x v="5"/>
    <n v="4"/>
    <n v="104224.79"/>
    <n v="81700"/>
    <x v="3"/>
  </r>
  <r>
    <x v="12"/>
    <x v="6"/>
    <n v="1"/>
    <n v="31310.09"/>
    <n v="77000"/>
    <x v="3"/>
  </r>
  <r>
    <x v="13"/>
    <x v="6"/>
    <n v="4"/>
    <n v="75937.759999999995"/>
    <n v="59700"/>
    <x v="0"/>
  </r>
  <r>
    <x v="14"/>
    <x v="3"/>
    <n v="2"/>
    <n v="7918.6"/>
    <n v="11000"/>
    <x v="2"/>
  </r>
  <r>
    <x v="15"/>
    <x v="7"/>
    <n v="2"/>
    <n v="46751.14"/>
    <n v="59600"/>
    <x v="0"/>
  </r>
  <r>
    <x v="16"/>
    <x v="3"/>
    <n v="2"/>
    <n v="32198.69"/>
    <n v="43400"/>
    <x v="2"/>
  </r>
  <r>
    <x v="17"/>
    <x v="8"/>
    <n v="2"/>
    <n v="70122.19"/>
    <n v="90300"/>
    <x v="3"/>
  </r>
  <r>
    <x v="18"/>
    <x v="3"/>
    <n v="2"/>
    <n v="57939.34"/>
    <n v="81100"/>
    <x v="3"/>
  </r>
  <r>
    <x v="19"/>
    <x v="3"/>
    <n v="3"/>
    <n v="69214.33"/>
    <n v="67500"/>
    <x v="0"/>
  </r>
  <r>
    <x v="20"/>
    <x v="9"/>
    <n v="2"/>
    <n v="49898.27"/>
    <n v="69400"/>
    <x v="0"/>
  </r>
  <r>
    <x v="21"/>
    <x v="3"/>
    <n v="2"/>
    <n v="80375.240000000005"/>
    <n v="105000"/>
    <x v="1"/>
  </r>
  <r>
    <x v="22"/>
    <x v="3"/>
    <n v="3"/>
    <n v="73533.649999999994"/>
    <n v="70700"/>
    <x v="0"/>
  </r>
  <r>
    <x v="23"/>
    <x v="3"/>
    <n v="4"/>
    <n v="132340.78"/>
    <n v="105000"/>
    <x v="1"/>
  </r>
  <r>
    <x v="24"/>
    <x v="7"/>
    <n v="3"/>
    <n v="112440.09"/>
    <n v="104600"/>
    <x v="1"/>
  </r>
  <r>
    <x v="25"/>
    <x v="10"/>
    <n v="3"/>
    <n v="87468.3"/>
    <n v="81500"/>
    <x v="3"/>
  </r>
  <r>
    <x v="26"/>
    <x v="0"/>
    <n v="2"/>
    <n v="61781.7"/>
    <n v="82900"/>
    <x v="3"/>
  </r>
  <r>
    <x v="27"/>
    <x v="11"/>
    <n v="5"/>
    <n v="129085.12"/>
    <n v="83400"/>
    <x v="3"/>
  </r>
  <r>
    <x v="28"/>
    <x v="3"/>
    <n v="4"/>
    <n v="104358.69"/>
    <n v="100600"/>
    <x v="1"/>
  </r>
  <r>
    <x v="29"/>
    <x v="3"/>
    <n v="2"/>
    <n v="65541.740000000005"/>
    <n v="85100"/>
    <x v="3"/>
  </r>
  <r>
    <x v="30"/>
    <x v="4"/>
    <n v="2"/>
    <n v="29586.15"/>
    <n v="43300"/>
    <x v="2"/>
  </r>
  <r>
    <x v="31"/>
    <x v="12"/>
    <n v="5"/>
    <n v="154622.07999999999"/>
    <n v="88000"/>
    <x v="3"/>
  </r>
  <r>
    <x v="32"/>
    <x v="13"/>
    <n v="5"/>
    <n v="156251.03"/>
    <n v="103800"/>
    <x v="1"/>
  </r>
  <r>
    <x v="33"/>
    <x v="7"/>
    <n v="3"/>
    <n v="68520.47"/>
    <n v="60300"/>
    <x v="0"/>
  </r>
  <r>
    <x v="34"/>
    <x v="7"/>
    <n v="26"/>
    <n v="820689.54"/>
    <n v="227600"/>
    <x v="4"/>
  </r>
  <r>
    <x v="35"/>
    <x v="12"/>
    <n v="3"/>
    <n v="90332.38"/>
    <n v="86800"/>
    <x v="3"/>
  </r>
  <r>
    <x v="36"/>
    <x v="1"/>
    <n v="2"/>
    <n v="25358.32"/>
    <n v="34800"/>
    <x v="2"/>
  </r>
  <r>
    <x v="37"/>
    <x v="3"/>
    <n v="3"/>
    <n v="88627.49"/>
    <n v="85800"/>
    <x v="3"/>
  </r>
  <r>
    <x v="38"/>
    <x v="3"/>
    <n v="3"/>
    <n v="95424.63"/>
    <n v="84300"/>
    <x v="3"/>
  </r>
  <r>
    <x v="39"/>
    <x v="3"/>
    <n v="3"/>
    <n v="49967.78"/>
    <n v="49700"/>
    <x v="2"/>
  </r>
  <r>
    <x v="40"/>
    <x v="3"/>
    <n v="3"/>
    <n v="84340.32"/>
    <n v="41900"/>
    <x v="2"/>
  </r>
  <r>
    <x v="41"/>
    <x v="4"/>
    <n v="2"/>
    <n v="71783.75"/>
    <n v="93900"/>
    <x v="3"/>
  </r>
  <r>
    <x v="42"/>
    <x v="12"/>
    <n v="3"/>
    <n v="94431.76"/>
    <n v="77700"/>
    <x v="3"/>
  </r>
  <r>
    <x v="43"/>
    <x v="13"/>
    <n v="4"/>
    <n v="107746.75"/>
    <n v="97900"/>
    <x v="3"/>
  </r>
  <r>
    <x v="44"/>
    <x v="11"/>
    <n v="2"/>
    <n v="89909.8"/>
    <n v="120800"/>
    <x v="1"/>
  </r>
  <r>
    <x v="45"/>
    <x v="14"/>
    <n v="3"/>
    <n v="97562.47"/>
    <n v="96800"/>
    <x v="3"/>
  </r>
  <r>
    <x v="46"/>
    <x v="7"/>
    <n v="2"/>
    <n v="50987.85"/>
    <n v="65700"/>
    <x v="0"/>
  </r>
  <r>
    <x v="47"/>
    <x v="12"/>
    <n v="4"/>
    <n v="137460.79"/>
    <n v="110000"/>
    <x v="1"/>
  </r>
  <r>
    <x v="48"/>
    <x v="15"/>
    <n v="2"/>
    <n v="45480.79"/>
    <n v="58600"/>
    <x v="0"/>
  </r>
  <r>
    <x v="49"/>
    <x v="0"/>
    <n v="3"/>
    <n v="86553.52"/>
    <n v="84300"/>
    <x v="3"/>
  </r>
  <r>
    <x v="50"/>
    <x v="0"/>
    <n v="4"/>
    <n v="158573.12"/>
    <n v="118200"/>
    <x v="1"/>
  </r>
  <r>
    <x v="51"/>
    <x v="3"/>
    <n v="4"/>
    <n v="149085.15"/>
    <n v="114900"/>
    <x v="1"/>
  </r>
  <r>
    <x v="52"/>
    <x v="1"/>
    <n v="3"/>
    <n v="125505.57"/>
    <n v="121400"/>
    <x v="1"/>
  </r>
  <r>
    <x v="53"/>
    <x v="0"/>
    <n v="3"/>
    <n v="67659.19"/>
    <n v="68100"/>
    <x v="0"/>
  </r>
  <r>
    <x v="54"/>
    <x v="0"/>
    <n v="3"/>
    <n v="71547.53"/>
    <n v="65000"/>
    <x v="0"/>
  </r>
  <r>
    <x v="55"/>
    <x v="3"/>
    <n v="2"/>
    <n v="90545.37"/>
    <n v="123700"/>
    <x v="1"/>
  </r>
  <r>
    <x v="56"/>
    <x v="3"/>
    <n v="2"/>
    <n v="41506.19"/>
    <n v="57700"/>
    <x v="0"/>
  </r>
  <r>
    <x v="57"/>
    <x v="3"/>
    <n v="2"/>
    <n v="29230.43"/>
    <n v="39800"/>
    <x v="2"/>
  </r>
  <r>
    <x v="58"/>
    <x v="16"/>
    <n v="3"/>
    <n v="51059.99"/>
    <n v="45300"/>
    <x v="2"/>
  </r>
  <r>
    <x v="59"/>
    <x v="0"/>
    <n v="3"/>
    <n v="75859.320000000007"/>
    <n v="53800"/>
    <x v="0"/>
  </r>
  <r>
    <x v="60"/>
    <x v="3"/>
    <n v="2"/>
    <n v="78432.160000000003"/>
    <n v="102700"/>
    <x v="1"/>
  </r>
  <r>
    <x v="61"/>
    <x v="3"/>
    <n v="3"/>
    <n v="101872.52"/>
    <n v="94500"/>
    <x v="3"/>
  </r>
  <r>
    <x v="62"/>
    <x v="3"/>
    <n v="17"/>
    <n v="591827.34"/>
    <n v="210500"/>
    <x v="4"/>
  </r>
  <r>
    <x v="63"/>
    <x v="3"/>
    <n v="3"/>
    <n v="66710.559999999998"/>
    <n v="64600"/>
    <x v="0"/>
  </r>
  <r>
    <x v="64"/>
    <x v="3"/>
    <n v="3"/>
    <n v="77726.59"/>
    <n v="72600"/>
    <x v="0"/>
  </r>
  <r>
    <x v="65"/>
    <x v="3"/>
    <n v="4"/>
    <n v="177913.95"/>
    <n v="138500"/>
    <x v="4"/>
  </r>
  <r>
    <x v="66"/>
    <x v="14"/>
    <n v="2"/>
    <n v="69059.039999999994"/>
    <n v="95100"/>
    <x v="3"/>
  </r>
  <r>
    <x v="67"/>
    <x v="3"/>
    <n v="3"/>
    <n v="116449.29"/>
    <n v="114200"/>
    <x v="1"/>
  </r>
  <r>
    <x v="68"/>
    <x v="3"/>
    <n v="2"/>
    <n v="55577.26"/>
    <n v="68700"/>
    <x v="0"/>
  </r>
  <r>
    <x v="69"/>
    <x v="17"/>
    <n v="2"/>
    <n v="62361.22"/>
    <n v="1200"/>
    <x v="2"/>
  </r>
  <r>
    <x v="70"/>
    <x v="18"/>
    <n v="3"/>
    <n v="95706.15"/>
    <n v="90500"/>
    <x v="3"/>
  </r>
  <r>
    <x v="71"/>
    <x v="19"/>
    <n v="3"/>
    <n v="70851.58"/>
    <n v="79900"/>
    <x v="3"/>
  </r>
  <r>
    <x v="72"/>
    <x v="8"/>
    <n v="3"/>
    <n v="68977.67"/>
    <n v="48700"/>
    <x v="2"/>
  </r>
  <r>
    <x v="73"/>
    <x v="0"/>
    <n v="5"/>
    <n v="126983.19"/>
    <n v="81100"/>
    <x v="3"/>
  </r>
  <r>
    <x v="74"/>
    <x v="1"/>
    <n v="3"/>
    <n v="127529.69"/>
    <n v="119600"/>
    <x v="1"/>
  </r>
  <r>
    <x v="75"/>
    <x v="8"/>
    <n v="2"/>
    <n v="66812"/>
    <n v="89600"/>
    <x v="3"/>
  </r>
  <r>
    <x v="76"/>
    <x v="19"/>
    <n v="4"/>
    <n v="29217.18"/>
    <n v="23500"/>
    <x v="2"/>
  </r>
  <r>
    <x v="77"/>
    <x v="16"/>
    <n v="4"/>
    <n v="137480.07"/>
    <n v="71700"/>
    <x v="0"/>
  </r>
  <r>
    <x v="78"/>
    <x v="0"/>
    <n v="3"/>
    <n v="130305.35"/>
    <n v="123900"/>
    <x v="1"/>
  </r>
  <r>
    <x v="79"/>
    <x v="20"/>
    <n v="3"/>
    <n v="120943.53"/>
    <n v="116400"/>
    <x v="1"/>
  </r>
  <r>
    <x v="80"/>
    <x v="3"/>
    <n v="2"/>
    <n v="42570.37"/>
    <n v="60300"/>
    <x v="0"/>
  </r>
  <r>
    <x v="81"/>
    <x v="3"/>
    <n v="3"/>
    <n v="80180.98"/>
    <n v="71800"/>
    <x v="0"/>
  </r>
  <r>
    <x v="82"/>
    <x v="2"/>
    <n v="4"/>
    <n v="133907.12"/>
    <n v="93300"/>
    <x v="3"/>
  </r>
  <r>
    <x v="83"/>
    <x v="4"/>
    <n v="3"/>
    <n v="80556.73"/>
    <n v="77000"/>
    <x v="3"/>
  </r>
  <r>
    <x v="84"/>
    <x v="18"/>
    <n v="3"/>
    <n v="103896.74"/>
    <n v="98800"/>
    <x v="3"/>
  </r>
  <r>
    <x v="85"/>
    <x v="3"/>
    <n v="2"/>
    <n v="70378.649999999994"/>
    <n v="95400"/>
    <x v="3"/>
  </r>
  <r>
    <x v="86"/>
    <x v="3"/>
    <n v="4"/>
    <n v="104545.22"/>
    <n v="84600"/>
    <x v="3"/>
  </r>
  <r>
    <x v="87"/>
    <x v="3"/>
    <n v="3"/>
    <n v="81806.55"/>
    <n v="43000"/>
    <x v="2"/>
  </r>
  <r>
    <x v="88"/>
    <x v="3"/>
    <n v="4"/>
    <n v="143536.26999999999"/>
    <n v="77600"/>
    <x v="3"/>
  </r>
  <r>
    <x v="89"/>
    <x v="17"/>
    <n v="4"/>
    <n v="105548.73"/>
    <n v="94400"/>
    <x v="3"/>
  </r>
  <r>
    <x v="90"/>
    <x v="6"/>
    <n v="2"/>
    <n v="89223.14"/>
    <n v="120400"/>
    <x v="1"/>
  </r>
  <r>
    <x v="91"/>
    <x v="18"/>
    <n v="3"/>
    <n v="95546.46"/>
    <n v="96500"/>
    <x v="3"/>
  </r>
  <r>
    <x v="92"/>
    <x v="3"/>
    <n v="3"/>
    <n v="93803.3"/>
    <n v="90700"/>
    <x v="3"/>
  </r>
  <r>
    <x v="93"/>
    <x v="4"/>
    <n v="3"/>
    <n v="106610.72"/>
    <n v="92700"/>
    <x v="3"/>
  </r>
  <r>
    <x v="94"/>
    <x v="21"/>
    <n v="2"/>
    <n v="108777.92"/>
    <n v="141300"/>
    <x v="4"/>
  </r>
  <r>
    <x v="95"/>
    <x v="3"/>
    <n v="3"/>
    <n v="72497.64"/>
    <n v="76400"/>
    <x v="3"/>
  </r>
  <r>
    <x v="96"/>
    <x v="20"/>
    <n v="4"/>
    <n v="66694.820000000007"/>
    <n v="53100"/>
    <x v="0"/>
  </r>
  <r>
    <x v="97"/>
    <x v="3"/>
    <n v="2"/>
    <n v="43748.72"/>
    <n v="554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4B4C1-5EF5-4634-AA74-46C719D8425D}" name="PivotTable7" cacheId="3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E15:F20" firstHeaderRow="1" firstDataRow="1" firstDataCol="1"/>
  <pivotFields count="8">
    <pivotField showAll="0"/>
    <pivotField showAll="0"/>
    <pivotField showAll="0"/>
    <pivotField numFmtId="44" showAll="0"/>
    <pivotField numFmtId="44" showAll="0"/>
    <pivotField axis="axisRow" showAll="0">
      <items count="7">
        <item x="4"/>
        <item x="1"/>
        <item x="3"/>
        <item x="0"/>
        <item m="1" x="5"/>
        <item x="2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>
      <x v="5"/>
    </i>
  </rowItems>
  <colItems count="1">
    <i/>
  </colItems>
  <dataFields count="1">
    <dataField name="Average of order_amount" fld="7" subtotal="average" baseField="5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D5ECB-35C5-4431-B0AE-9CBCF854FDA8}" name="PivotTable5" cacheId="3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E4:F9" firstHeaderRow="1" firstDataRow="1" firstDataCol="1"/>
  <pivotFields count="8">
    <pivotField showAll="0"/>
    <pivotField showAll="0"/>
    <pivotField showAll="0"/>
    <pivotField dataField="1" numFmtId="44" showAll="0"/>
    <pivotField numFmtId="44" showAll="0"/>
    <pivotField axis="axisRow" showAll="0">
      <items count="7">
        <item x="4"/>
        <item x="1"/>
        <item x="3"/>
        <item x="0"/>
        <item m="1" x="5"/>
        <item x="2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>
      <x v="5"/>
    </i>
  </rowItems>
  <colItems count="1">
    <i/>
  </colItems>
  <dataFields count="1">
    <dataField name="Sum of total_revenue" fld="3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07A64-7A52-47CD-BEF6-6177A93EF5FD}" name="PivotTable4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B4:C26" firstHeaderRow="1" firstDataRow="1" firstDataCol="1"/>
  <pivotFields count="6">
    <pivotField showAll="0"/>
    <pivotField showAll="0"/>
    <pivotField showAll="0"/>
    <pivotField axis="axisRow" showAll="0" sortType="ascending">
      <items count="23">
        <item x="2"/>
        <item x="16"/>
        <item x="19"/>
        <item x="8"/>
        <item x="11"/>
        <item x="18"/>
        <item x="0"/>
        <item x="6"/>
        <item x="15"/>
        <item x="9"/>
        <item x="1"/>
        <item x="17"/>
        <item x="12"/>
        <item x="5"/>
        <item x="14"/>
        <item x="10"/>
        <item x="13"/>
        <item x="7"/>
        <item x="20"/>
        <item x="2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44" showAll="0"/>
  </pivotFields>
  <rowFields count="1">
    <field x="3"/>
  </rowFields>
  <rowItems count="22">
    <i>
      <x v="8"/>
    </i>
    <i>
      <x v="9"/>
    </i>
    <i>
      <x v="15"/>
    </i>
    <i>
      <x v="2"/>
    </i>
    <i>
      <x v="13"/>
    </i>
    <i>
      <x v="19"/>
    </i>
    <i>
      <x v="14"/>
    </i>
    <i>
      <x v="11"/>
    </i>
    <i>
      <x v="18"/>
    </i>
    <i>
      <x v="1"/>
    </i>
    <i>
      <x v="7"/>
    </i>
    <i>
      <x v="3"/>
    </i>
    <i>
      <x v="4"/>
    </i>
    <i>
      <x v="16"/>
    </i>
    <i>
      <x v="5"/>
    </i>
    <i>
      <x v="10"/>
    </i>
    <i>
      <x v="20"/>
    </i>
    <i>
      <x v="12"/>
    </i>
    <i>
      <x/>
    </i>
    <i>
      <x v="6"/>
    </i>
    <i>
      <x v="17"/>
    </i>
    <i>
      <x v="21"/>
    </i>
  </rowItems>
  <colItems count="1">
    <i/>
  </colItems>
  <dataFields count="1">
    <dataField name="Sum of total_revenue" fld="5" baseField="0" baseItem="0" numFmtId="4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DE4B7-93CA-4B38-9BBB-223CE635439D}" name="PivotTable2" cacheId="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4:K102" firstHeaderRow="0" firstDataRow="1" firstDataCol="1"/>
  <pivotFields count="8">
    <pivotField axis="axisRow" showAll="0" sortType="descending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numFmtId="44" showAll="0"/>
    <pivotField dataField="1" numFmtId="44"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98">
    <i>
      <x v="69"/>
    </i>
    <i>
      <x v="34"/>
    </i>
    <i>
      <x v="62"/>
    </i>
    <i>
      <x v="40"/>
    </i>
    <i>
      <x v="77"/>
    </i>
    <i>
      <x v="87"/>
    </i>
    <i>
      <x v="88"/>
    </i>
    <i>
      <x v="31"/>
    </i>
    <i>
      <x v="73"/>
    </i>
    <i>
      <x v="27"/>
    </i>
    <i>
      <x v="5"/>
    </i>
    <i>
      <x v="32"/>
    </i>
    <i>
      <x v="82"/>
    </i>
    <i>
      <x v="72"/>
    </i>
    <i>
      <x v="59"/>
    </i>
    <i>
      <x v="50"/>
    </i>
    <i>
      <x v="51"/>
    </i>
    <i>
      <x v="65"/>
    </i>
    <i>
      <x v="11"/>
    </i>
    <i>
      <x v="13"/>
    </i>
    <i>
      <x v="2"/>
    </i>
    <i>
      <x v="23"/>
    </i>
    <i>
      <x v="96"/>
    </i>
    <i>
      <x v="47"/>
    </i>
    <i>
      <x v="76"/>
    </i>
    <i>
      <x v="86"/>
    </i>
    <i>
      <x v="42"/>
    </i>
    <i>
      <x v="93"/>
    </i>
    <i>
      <x v="33"/>
    </i>
    <i>
      <x v="38"/>
    </i>
    <i>
      <x v="58"/>
    </i>
    <i>
      <x v="89"/>
    </i>
    <i>
      <x v="81"/>
    </i>
    <i>
      <x v="54"/>
    </i>
    <i>
      <x v="43"/>
    </i>
    <i>
      <x v="10"/>
    </i>
    <i>
      <x v="61"/>
    </i>
    <i>
      <x v="24"/>
    </i>
    <i>
      <x v="25"/>
    </i>
    <i>
      <x v="64"/>
    </i>
    <i>
      <x v="6"/>
    </i>
    <i>
      <x v="74"/>
    </i>
    <i>
      <x v="3"/>
    </i>
    <i>
      <x v="70"/>
    </i>
    <i>
      <x v="78"/>
    </i>
    <i>
      <x v="84"/>
    </i>
    <i>
      <x v="83"/>
    </i>
    <i>
      <x v="35"/>
    </i>
    <i>
      <x v="22"/>
    </i>
    <i>
      <x v="79"/>
    </i>
    <i>
      <x v="28"/>
    </i>
    <i>
      <x v="92"/>
    </i>
    <i>
      <x v="52"/>
    </i>
    <i>
      <x v="37"/>
    </i>
    <i>
      <x v="63"/>
    </i>
    <i>
      <x v="49"/>
    </i>
    <i>
      <x v="19"/>
    </i>
    <i>
      <x v="67"/>
    </i>
    <i>
      <x v="45"/>
    </i>
    <i>
      <x v="39"/>
    </i>
    <i>
      <x v="53"/>
    </i>
    <i>
      <x v="91"/>
    </i>
    <i>
      <x/>
    </i>
    <i>
      <x v="95"/>
    </i>
    <i>
      <x v="9"/>
    </i>
    <i>
      <x v="4"/>
    </i>
    <i>
      <x v="8"/>
    </i>
    <i>
      <x v="71"/>
    </i>
    <i>
      <x v="68"/>
    </i>
    <i>
      <x v="97"/>
    </i>
    <i>
      <x v="15"/>
    </i>
    <i>
      <x v="17"/>
    </i>
    <i>
      <x v="48"/>
    </i>
    <i>
      <x v="46"/>
    </i>
    <i>
      <x v="29"/>
    </i>
    <i>
      <x v="94"/>
    </i>
    <i>
      <x v="21"/>
    </i>
    <i>
      <x v="41"/>
    </i>
    <i>
      <x v="60"/>
    </i>
    <i>
      <x v="7"/>
    </i>
    <i>
      <x v="75"/>
    </i>
    <i>
      <x v="26"/>
    </i>
    <i>
      <x v="44"/>
    </i>
    <i>
      <x v="16"/>
    </i>
    <i>
      <x v="90"/>
    </i>
    <i>
      <x v="85"/>
    </i>
    <i>
      <x v="57"/>
    </i>
    <i>
      <x v="55"/>
    </i>
    <i>
      <x v="36"/>
    </i>
    <i>
      <x v="1"/>
    </i>
    <i>
      <x v="66"/>
    </i>
    <i>
      <x v="14"/>
    </i>
    <i>
      <x v="56"/>
    </i>
    <i>
      <x v="20"/>
    </i>
    <i>
      <x v="18"/>
    </i>
    <i>
      <x v="80"/>
    </i>
    <i>
      <x v="30"/>
    </i>
    <i>
      <x v="12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reditlimit" fld="4" baseField="0" baseItem="0" numFmtId="44"/>
    <dataField name="Sum of total_revenue" fld="3" baseField="0" baseItem="0" numFmtId="44"/>
    <dataField name="Sales as % of Credit Limit" fld="6" baseField="0" baseItem="0" numFmtId="9"/>
  </dataFields>
  <formats count="1">
    <format dxfId="5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C9E500-4F4A-49B4-941E-B2932D466FE8}" name="total_revenue_bycountry" displayName="total_revenue_bycountry" ref="A1:F327" totalsRowShown="0">
  <autoFilter ref="A1:F327" xr:uid="{52C9E500-4F4A-49B4-941E-B2932D466FE8}"/>
  <sortState xmlns:xlrd2="http://schemas.microsoft.com/office/spreadsheetml/2017/richdata2" ref="A2:F327">
    <sortCondition ref="B1:B327"/>
  </sortState>
  <tableColumns count="6">
    <tableColumn id="1" xr3:uid="{F0B68563-DB2F-4500-9F60-AFB2B188B014}" name="ordernumber"/>
    <tableColumn id="2" xr3:uid="{D9FD3465-B5A0-4B07-922F-4FDC11A94545}" name="customername" dataDxfId="57"/>
    <tableColumn id="3" xr3:uid="{260F2F43-8E82-4BE9-93DB-65F703624011}" name="contactname" dataDxfId="56"/>
    <tableColumn id="4" xr3:uid="{60302197-096B-46E8-BEC4-D8B559A0C4FA}" name="country" dataDxfId="55"/>
    <tableColumn id="5" xr3:uid="{4F5D62DC-5EED-4B69-8130-EBC5F8EC1798}" name="total_items"/>
    <tableColumn id="6" xr3:uid="{352DBC02-ADBD-4B82-B5E1-116999608389}" name="total_revenue" dataCellStyle="Currency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AE3AD-D2B0-4191-A6D0-5AE32D47B07E}" name="customer_credit_vs_sales" displayName="customer_credit_vs_sales" ref="A1:F99" totalsRowShown="0">
  <autoFilter ref="A1:F99" xr:uid="{783AE3AD-D2B0-4191-A6D0-5AE32D47B07E}"/>
  <sortState xmlns:xlrd2="http://schemas.microsoft.com/office/spreadsheetml/2017/richdata2" ref="A2:F99">
    <sortCondition descending="1" ref="D1:D99"/>
  </sortState>
  <tableColumns count="6">
    <tableColumn id="1" xr3:uid="{9D5989C5-876E-45A7-B847-E28E8E0CAF5C}" name="customername" dataDxfId="54"/>
    <tableColumn id="2" xr3:uid="{E9097E08-CE6D-4DAA-B88C-62CA514D4BDF}" name="country" dataDxfId="53"/>
    <tableColumn id="7" xr3:uid="{12C28EB9-6ED8-4AFF-8073-7635CDE3D13D}" name="total_order_count"/>
    <tableColumn id="3" xr3:uid="{99D16E61-A2DC-49D9-9284-F24DCDFCCBC6}" name="total_revenue" dataCellStyle="Currency"/>
    <tableColumn id="4" xr3:uid="{570C686A-9CED-4ADB-8E6F-FBCCB5895C54}" name="creditlimit" dataCellStyle="Currency"/>
    <tableColumn id="5" xr3:uid="{87357CA3-A075-4651-8724-42C6B8C16F3D}" name="credit_tier" dataDxfId="52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E4DAE6-B3C0-40F0-8307-6B3B8F056095}" name="Table4" displayName="Table4" ref="W4:Y14" totalsRowShown="0">
  <autoFilter ref="W4:Y14" xr:uid="{39E4DAE6-B3C0-40F0-8307-6B3B8F056095}">
    <filterColumn colId="0" hiddenButton="1"/>
    <filterColumn colId="1" hiddenButton="1"/>
    <filterColumn colId="2" hiddenButton="1"/>
  </autoFilter>
  <tableColumns count="3">
    <tableColumn id="1" xr3:uid="{C76D8C2A-319B-4529-8D26-32EF30D18E7E}" name="Customer"/>
    <tableColumn id="2" xr3:uid="{CA8CB329-DB61-486D-ABDC-FC2F60858365}" name="Region"/>
    <tableColumn id="3" xr3:uid="{CD6E25DE-72C3-4F39-A92B-3353D91083E2}" name="Credit Tier" dataDxfId="3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9168-2B43-40F8-A098-4A366C0CB0EF}">
  <dimension ref="A1:F327"/>
  <sheetViews>
    <sheetView workbookViewId="0">
      <selection activeCell="F2" sqref="F2"/>
    </sheetView>
  </sheetViews>
  <sheetFormatPr defaultRowHeight="15" x14ac:dyDescent="0.25"/>
  <cols>
    <col min="1" max="1" width="14" bestFit="1" customWidth="1"/>
    <col min="2" max="2" width="29" bestFit="1" customWidth="1"/>
    <col min="3" max="3" width="24.7109375" customWidth="1"/>
    <col min="4" max="4" width="16.7109375" customWidth="1"/>
    <col min="5" max="5" width="13.42578125" bestFit="1" customWidth="1"/>
    <col min="6" max="6" width="24.85546875" style="1" customWidth="1"/>
  </cols>
  <sheetData>
    <row r="1" spans="1:6" x14ac:dyDescent="0.25">
      <c r="A1" t="s">
        <v>129</v>
      </c>
      <c r="B1" t="s">
        <v>0</v>
      </c>
      <c r="C1" t="s">
        <v>128</v>
      </c>
      <c r="D1" t="s">
        <v>1</v>
      </c>
      <c r="E1" t="s">
        <v>130</v>
      </c>
      <c r="F1" s="1" t="s">
        <v>2</v>
      </c>
    </row>
    <row r="2" spans="1:6" x14ac:dyDescent="0.25">
      <c r="A2">
        <v>10178</v>
      </c>
      <c r="B2" t="s">
        <v>101</v>
      </c>
      <c r="C2" t="s">
        <v>204</v>
      </c>
      <c r="D2" t="s">
        <v>15</v>
      </c>
      <c r="E2">
        <v>12</v>
      </c>
      <c r="F2" s="1">
        <v>33818.339999999997</v>
      </c>
    </row>
    <row r="3" spans="1:6" x14ac:dyDescent="0.25">
      <c r="A3">
        <v>10136</v>
      </c>
      <c r="B3" t="s">
        <v>101</v>
      </c>
      <c r="C3" t="s">
        <v>204</v>
      </c>
      <c r="D3" t="s">
        <v>15</v>
      </c>
      <c r="E3">
        <v>3</v>
      </c>
      <c r="F3" s="1">
        <v>14232.7</v>
      </c>
    </row>
    <row r="4" spans="1:6" x14ac:dyDescent="0.25">
      <c r="A4">
        <v>10397</v>
      </c>
      <c r="B4" t="s">
        <v>101</v>
      </c>
      <c r="C4" t="s">
        <v>204</v>
      </c>
      <c r="D4" t="s">
        <v>15</v>
      </c>
      <c r="E4">
        <v>5</v>
      </c>
      <c r="F4" s="1">
        <v>12432.32</v>
      </c>
    </row>
    <row r="5" spans="1:6" x14ac:dyDescent="0.25">
      <c r="A5">
        <v>10280</v>
      </c>
      <c r="B5" t="s">
        <v>32</v>
      </c>
      <c r="C5" t="s">
        <v>168</v>
      </c>
      <c r="D5" t="s">
        <v>19</v>
      </c>
      <c r="E5">
        <v>17</v>
      </c>
      <c r="F5" s="1">
        <v>48298.99</v>
      </c>
    </row>
    <row r="6" spans="1:6" x14ac:dyDescent="0.25">
      <c r="A6">
        <v>10293</v>
      </c>
      <c r="B6" t="s">
        <v>32</v>
      </c>
      <c r="C6" t="s">
        <v>168</v>
      </c>
      <c r="D6" t="s">
        <v>19</v>
      </c>
      <c r="E6">
        <v>9</v>
      </c>
      <c r="F6" s="1">
        <v>33924.239999999998</v>
      </c>
    </row>
    <row r="7" spans="1:6" x14ac:dyDescent="0.25">
      <c r="A7">
        <v>10148</v>
      </c>
      <c r="B7" t="s">
        <v>35</v>
      </c>
      <c r="C7" t="s">
        <v>187</v>
      </c>
      <c r="D7" t="s">
        <v>27</v>
      </c>
      <c r="E7">
        <v>14</v>
      </c>
      <c r="F7" s="1">
        <v>41554.730000000003</v>
      </c>
    </row>
    <row r="8" spans="1:6" x14ac:dyDescent="0.25">
      <c r="A8">
        <v>10169</v>
      </c>
      <c r="B8" t="s">
        <v>35</v>
      </c>
      <c r="C8" t="s">
        <v>187</v>
      </c>
      <c r="D8" t="s">
        <v>27</v>
      </c>
      <c r="E8">
        <v>13</v>
      </c>
      <c r="F8" s="1">
        <v>38547.19</v>
      </c>
    </row>
    <row r="9" spans="1:6" x14ac:dyDescent="0.25">
      <c r="A9">
        <v>10391</v>
      </c>
      <c r="B9" t="s">
        <v>35</v>
      </c>
      <c r="C9" t="s">
        <v>187</v>
      </c>
      <c r="D9" t="s">
        <v>27</v>
      </c>
      <c r="E9">
        <v>10</v>
      </c>
      <c r="F9" s="1">
        <v>29848.52</v>
      </c>
    </row>
    <row r="10" spans="1:6" x14ac:dyDescent="0.25">
      <c r="A10">
        <v>10370</v>
      </c>
      <c r="B10" t="s">
        <v>35</v>
      </c>
      <c r="C10" t="s">
        <v>187</v>
      </c>
      <c r="D10" t="s">
        <v>27</v>
      </c>
      <c r="E10">
        <v>9</v>
      </c>
      <c r="F10" s="1">
        <v>27083.78</v>
      </c>
    </row>
    <row r="11" spans="1:6" x14ac:dyDescent="0.25">
      <c r="A11">
        <v>10123</v>
      </c>
      <c r="B11" t="s">
        <v>125</v>
      </c>
      <c r="C11" t="s">
        <v>225</v>
      </c>
      <c r="D11" t="s">
        <v>15</v>
      </c>
      <c r="E11">
        <v>4</v>
      </c>
      <c r="F11" s="1">
        <v>14571.44</v>
      </c>
    </row>
    <row r="12" spans="1:6" x14ac:dyDescent="0.25">
      <c r="A12">
        <v>10298</v>
      </c>
      <c r="B12" t="s">
        <v>125</v>
      </c>
      <c r="C12" t="s">
        <v>225</v>
      </c>
      <c r="D12" t="s">
        <v>15</v>
      </c>
      <c r="E12">
        <v>2</v>
      </c>
      <c r="F12" s="1">
        <v>6066.78</v>
      </c>
    </row>
    <row r="13" spans="1:6" x14ac:dyDescent="0.25">
      <c r="A13">
        <v>10345</v>
      </c>
      <c r="B13" t="s">
        <v>125</v>
      </c>
      <c r="C13" t="s">
        <v>225</v>
      </c>
      <c r="D13" t="s">
        <v>15</v>
      </c>
      <c r="E13">
        <v>1</v>
      </c>
      <c r="F13" s="1">
        <v>1676.14</v>
      </c>
    </row>
    <row r="14" spans="1:6" x14ac:dyDescent="0.25">
      <c r="A14">
        <v>10193</v>
      </c>
      <c r="B14" t="s">
        <v>104</v>
      </c>
      <c r="C14" t="s">
        <v>200</v>
      </c>
      <c r="D14" t="s">
        <v>27</v>
      </c>
      <c r="E14">
        <v>16</v>
      </c>
      <c r="F14" s="1">
        <v>35505.629999999997</v>
      </c>
    </row>
    <row r="15" spans="1:6" x14ac:dyDescent="0.25">
      <c r="A15">
        <v>10415</v>
      </c>
      <c r="B15" t="s">
        <v>104</v>
      </c>
      <c r="C15" t="s">
        <v>200</v>
      </c>
      <c r="D15" t="s">
        <v>27</v>
      </c>
      <c r="E15">
        <v>5</v>
      </c>
      <c r="F15" s="1">
        <v>10945.26</v>
      </c>
    </row>
    <row r="16" spans="1:6" x14ac:dyDescent="0.25">
      <c r="A16">
        <v>10265</v>
      </c>
      <c r="B16" t="s">
        <v>104</v>
      </c>
      <c r="C16" t="s">
        <v>200</v>
      </c>
      <c r="D16" t="s">
        <v>27</v>
      </c>
      <c r="E16">
        <v>2</v>
      </c>
      <c r="F16" s="1">
        <v>9415.1299999999992</v>
      </c>
    </row>
    <row r="17" spans="1:6" x14ac:dyDescent="0.25">
      <c r="A17">
        <v>10120</v>
      </c>
      <c r="B17" t="s">
        <v>26</v>
      </c>
      <c r="C17" t="s">
        <v>176</v>
      </c>
      <c r="D17" t="s">
        <v>27</v>
      </c>
      <c r="E17">
        <v>15</v>
      </c>
      <c r="F17" s="1">
        <v>45864.03</v>
      </c>
    </row>
    <row r="18" spans="1:6" x14ac:dyDescent="0.25">
      <c r="A18">
        <v>10223</v>
      </c>
      <c r="B18" t="s">
        <v>26</v>
      </c>
      <c r="C18" t="s">
        <v>176</v>
      </c>
      <c r="D18" t="s">
        <v>27</v>
      </c>
      <c r="E18">
        <v>15</v>
      </c>
      <c r="F18" s="1">
        <v>44894.74</v>
      </c>
    </row>
    <row r="19" spans="1:6" x14ac:dyDescent="0.25">
      <c r="A19">
        <v>10347</v>
      </c>
      <c r="B19" t="s">
        <v>26</v>
      </c>
      <c r="C19" t="s">
        <v>176</v>
      </c>
      <c r="D19" t="s">
        <v>27</v>
      </c>
      <c r="E19">
        <v>12</v>
      </c>
      <c r="F19" s="1">
        <v>41995.62</v>
      </c>
    </row>
    <row r="20" spans="1:6" x14ac:dyDescent="0.25">
      <c r="A20">
        <v>10342</v>
      </c>
      <c r="B20" t="s">
        <v>26</v>
      </c>
      <c r="C20" t="s">
        <v>176</v>
      </c>
      <c r="D20" t="s">
        <v>27</v>
      </c>
      <c r="E20">
        <v>11</v>
      </c>
      <c r="F20" s="1">
        <v>40265.599999999999</v>
      </c>
    </row>
    <row r="21" spans="1:6" x14ac:dyDescent="0.25">
      <c r="A21">
        <v>10125</v>
      </c>
      <c r="B21" t="s">
        <v>26</v>
      </c>
      <c r="C21" t="s">
        <v>176</v>
      </c>
      <c r="D21" t="s">
        <v>27</v>
      </c>
      <c r="E21">
        <v>2</v>
      </c>
      <c r="F21" s="1">
        <v>7565.08</v>
      </c>
    </row>
    <row r="22" spans="1:6" x14ac:dyDescent="0.25">
      <c r="A22">
        <v>10174</v>
      </c>
      <c r="B22" t="s">
        <v>113</v>
      </c>
      <c r="C22" t="s">
        <v>219</v>
      </c>
      <c r="D22" t="s">
        <v>27</v>
      </c>
      <c r="E22">
        <v>5</v>
      </c>
      <c r="F22" s="1">
        <v>23936.53</v>
      </c>
    </row>
    <row r="23" spans="1:6" x14ac:dyDescent="0.25">
      <c r="A23">
        <v>10374</v>
      </c>
      <c r="B23" t="s">
        <v>113</v>
      </c>
      <c r="C23" t="s">
        <v>219</v>
      </c>
      <c r="D23" t="s">
        <v>27</v>
      </c>
      <c r="E23">
        <v>6</v>
      </c>
      <c r="F23" s="1">
        <v>21432.31</v>
      </c>
    </row>
    <row r="24" spans="1:6" x14ac:dyDescent="0.25">
      <c r="A24">
        <v>10152</v>
      </c>
      <c r="B24" t="s">
        <v>113</v>
      </c>
      <c r="C24" t="s">
        <v>219</v>
      </c>
      <c r="D24" t="s">
        <v>27</v>
      </c>
      <c r="E24">
        <v>4</v>
      </c>
      <c r="F24" s="1">
        <v>9821.32</v>
      </c>
    </row>
    <row r="25" spans="1:6" x14ac:dyDescent="0.25">
      <c r="A25">
        <v>10304</v>
      </c>
      <c r="B25" t="s">
        <v>81</v>
      </c>
      <c r="C25" t="s">
        <v>145</v>
      </c>
      <c r="D25" t="s">
        <v>15</v>
      </c>
      <c r="E25">
        <v>17</v>
      </c>
      <c r="F25" s="1">
        <v>53116.99</v>
      </c>
    </row>
    <row r="26" spans="1:6" x14ac:dyDescent="0.25">
      <c r="A26">
        <v>10216</v>
      </c>
      <c r="B26" t="s">
        <v>81</v>
      </c>
      <c r="C26" t="s">
        <v>145</v>
      </c>
      <c r="D26" t="s">
        <v>15</v>
      </c>
      <c r="E26">
        <v>1</v>
      </c>
      <c r="F26" s="1">
        <v>5759.42</v>
      </c>
    </row>
    <row r="27" spans="1:6" x14ac:dyDescent="0.25">
      <c r="A27">
        <v>10211</v>
      </c>
      <c r="B27" t="s">
        <v>52</v>
      </c>
      <c r="C27" t="s">
        <v>164</v>
      </c>
      <c r="D27" t="s">
        <v>15</v>
      </c>
      <c r="E27">
        <v>15</v>
      </c>
      <c r="F27" s="1">
        <v>49165.16</v>
      </c>
    </row>
    <row r="28" spans="1:6" x14ac:dyDescent="0.25">
      <c r="A28">
        <v>10252</v>
      </c>
      <c r="B28" t="s">
        <v>52</v>
      </c>
      <c r="C28" t="s">
        <v>164</v>
      </c>
      <c r="D28" t="s">
        <v>15</v>
      </c>
      <c r="E28">
        <v>9</v>
      </c>
      <c r="F28" s="1">
        <v>25080.959999999999</v>
      </c>
    </row>
    <row r="29" spans="1:6" x14ac:dyDescent="0.25">
      <c r="A29">
        <v>10402</v>
      </c>
      <c r="B29" t="s">
        <v>52</v>
      </c>
      <c r="C29" t="s">
        <v>164</v>
      </c>
      <c r="D29" t="s">
        <v>15</v>
      </c>
      <c r="E29">
        <v>3</v>
      </c>
      <c r="F29" s="1">
        <v>12190.85</v>
      </c>
    </row>
    <row r="30" spans="1:6" x14ac:dyDescent="0.25">
      <c r="A30">
        <v>10352</v>
      </c>
      <c r="B30" t="s">
        <v>124</v>
      </c>
      <c r="C30" t="s">
        <v>227</v>
      </c>
      <c r="D30" t="s">
        <v>8</v>
      </c>
      <c r="E30">
        <v>4</v>
      </c>
      <c r="F30" s="1">
        <v>9658.74</v>
      </c>
    </row>
    <row r="31" spans="1:6" x14ac:dyDescent="0.25">
      <c r="A31">
        <v>10130</v>
      </c>
      <c r="B31" t="s">
        <v>124</v>
      </c>
      <c r="C31" t="s">
        <v>227</v>
      </c>
      <c r="D31" t="s">
        <v>8</v>
      </c>
      <c r="E31">
        <v>2</v>
      </c>
      <c r="F31" s="1">
        <v>6036.96</v>
      </c>
    </row>
    <row r="32" spans="1:6" x14ac:dyDescent="0.25">
      <c r="A32">
        <v>10290</v>
      </c>
      <c r="B32" t="s">
        <v>124</v>
      </c>
      <c r="C32" t="s">
        <v>227</v>
      </c>
      <c r="D32" t="s">
        <v>8</v>
      </c>
      <c r="E32">
        <v>2</v>
      </c>
      <c r="F32" s="1">
        <v>5858.56</v>
      </c>
    </row>
    <row r="33" spans="1:6" x14ac:dyDescent="0.25">
      <c r="A33">
        <v>10306</v>
      </c>
      <c r="B33" t="s">
        <v>12</v>
      </c>
      <c r="C33" t="s">
        <v>146</v>
      </c>
      <c r="D33" t="s">
        <v>13</v>
      </c>
      <c r="E33">
        <v>17</v>
      </c>
      <c r="F33" s="1">
        <v>52825.29</v>
      </c>
    </row>
    <row r="34" spans="1:6" x14ac:dyDescent="0.25">
      <c r="A34">
        <v>10110</v>
      </c>
      <c r="B34" t="s">
        <v>12</v>
      </c>
      <c r="C34" t="s">
        <v>146</v>
      </c>
      <c r="D34" t="s">
        <v>13</v>
      </c>
      <c r="E34">
        <v>16</v>
      </c>
      <c r="F34" s="1">
        <v>48425.69</v>
      </c>
    </row>
    <row r="35" spans="1:6" x14ac:dyDescent="0.25">
      <c r="A35">
        <v>10332</v>
      </c>
      <c r="B35" t="s">
        <v>12</v>
      </c>
      <c r="C35" t="s">
        <v>146</v>
      </c>
      <c r="D35" t="s">
        <v>13</v>
      </c>
      <c r="E35">
        <v>18</v>
      </c>
      <c r="F35" s="1">
        <v>47159.11</v>
      </c>
    </row>
    <row r="36" spans="1:6" x14ac:dyDescent="0.25">
      <c r="A36">
        <v>10103</v>
      </c>
      <c r="B36" t="s">
        <v>73</v>
      </c>
      <c r="C36" t="s">
        <v>160</v>
      </c>
      <c r="D36" t="s">
        <v>74</v>
      </c>
      <c r="E36">
        <v>16</v>
      </c>
      <c r="F36" s="1">
        <v>50218.95</v>
      </c>
    </row>
    <row r="37" spans="1:6" x14ac:dyDescent="0.25">
      <c r="A37">
        <v>10325</v>
      </c>
      <c r="B37" t="s">
        <v>73</v>
      </c>
      <c r="C37" t="s">
        <v>160</v>
      </c>
      <c r="D37" t="s">
        <v>74</v>
      </c>
      <c r="E37">
        <v>9</v>
      </c>
      <c r="F37" s="1">
        <v>34638.14</v>
      </c>
    </row>
    <row r="38" spans="1:6" x14ac:dyDescent="0.25">
      <c r="A38">
        <v>10309</v>
      </c>
      <c r="B38" t="s">
        <v>73</v>
      </c>
      <c r="C38" t="s">
        <v>160</v>
      </c>
      <c r="D38" t="s">
        <v>74</v>
      </c>
      <c r="E38">
        <v>6</v>
      </c>
      <c r="F38" s="1">
        <v>17876.32</v>
      </c>
    </row>
    <row r="39" spans="1:6" x14ac:dyDescent="0.25">
      <c r="A39">
        <v>10158</v>
      </c>
      <c r="B39" t="s">
        <v>73</v>
      </c>
      <c r="C39" t="s">
        <v>160</v>
      </c>
      <c r="D39" t="s">
        <v>74</v>
      </c>
      <c r="E39">
        <v>1</v>
      </c>
      <c r="F39" s="1">
        <v>1491.38</v>
      </c>
    </row>
    <row r="40" spans="1:6" x14ac:dyDescent="0.25">
      <c r="A40">
        <v>10296</v>
      </c>
      <c r="B40" t="s">
        <v>84</v>
      </c>
      <c r="C40" t="s">
        <v>209</v>
      </c>
      <c r="D40" t="s">
        <v>23</v>
      </c>
      <c r="E40">
        <v>14</v>
      </c>
      <c r="F40" s="1">
        <v>31310.09</v>
      </c>
    </row>
    <row r="41" spans="1:6" x14ac:dyDescent="0.25">
      <c r="A41">
        <v>10230</v>
      </c>
      <c r="B41" t="s">
        <v>105</v>
      </c>
      <c r="C41" t="s">
        <v>203</v>
      </c>
      <c r="D41" t="s">
        <v>23</v>
      </c>
      <c r="E41">
        <v>8</v>
      </c>
      <c r="F41" s="1">
        <v>33820.620000000003</v>
      </c>
    </row>
    <row r="42" spans="1:6" x14ac:dyDescent="0.25">
      <c r="A42">
        <v>10300</v>
      </c>
      <c r="B42" t="s">
        <v>105</v>
      </c>
      <c r="C42" t="s">
        <v>203</v>
      </c>
      <c r="D42" t="s">
        <v>23</v>
      </c>
      <c r="E42">
        <v>8</v>
      </c>
      <c r="F42" s="1">
        <v>24101.81</v>
      </c>
    </row>
    <row r="43" spans="1:6" x14ac:dyDescent="0.25">
      <c r="A43">
        <v>10101</v>
      </c>
      <c r="B43" t="s">
        <v>105</v>
      </c>
      <c r="C43" t="s">
        <v>203</v>
      </c>
      <c r="D43" t="s">
        <v>23</v>
      </c>
      <c r="E43">
        <v>4</v>
      </c>
      <c r="F43" s="1">
        <v>10549.01</v>
      </c>
    </row>
    <row r="44" spans="1:6" x14ac:dyDescent="0.25">
      <c r="A44">
        <v>10323</v>
      </c>
      <c r="B44" t="s">
        <v>105</v>
      </c>
      <c r="C44" t="s">
        <v>203</v>
      </c>
      <c r="D44" t="s">
        <v>23</v>
      </c>
      <c r="E44">
        <v>2</v>
      </c>
      <c r="F44" s="1">
        <v>7466.32</v>
      </c>
    </row>
    <row r="45" spans="1:6" x14ac:dyDescent="0.25">
      <c r="A45">
        <v>10154</v>
      </c>
      <c r="B45" t="s">
        <v>126</v>
      </c>
      <c r="C45" t="s">
        <v>228</v>
      </c>
      <c r="D45" t="s">
        <v>8</v>
      </c>
      <c r="E45">
        <v>2</v>
      </c>
      <c r="F45" s="1">
        <v>4465.8500000000004</v>
      </c>
    </row>
    <row r="46" spans="1:6" x14ac:dyDescent="0.25">
      <c r="A46">
        <v>10376</v>
      </c>
      <c r="B46" t="s">
        <v>126</v>
      </c>
      <c r="C46" t="s">
        <v>228</v>
      </c>
      <c r="D46" t="s">
        <v>8</v>
      </c>
      <c r="E46">
        <v>1</v>
      </c>
      <c r="F46" s="1">
        <v>3452.75</v>
      </c>
    </row>
    <row r="47" spans="1:6" x14ac:dyDescent="0.25">
      <c r="A47">
        <v>10177</v>
      </c>
      <c r="B47" t="s">
        <v>106</v>
      </c>
      <c r="C47" t="s">
        <v>208</v>
      </c>
      <c r="D47" t="s">
        <v>5</v>
      </c>
      <c r="E47">
        <v>11</v>
      </c>
      <c r="F47" s="1">
        <v>31428.21</v>
      </c>
    </row>
    <row r="48" spans="1:6" x14ac:dyDescent="0.25">
      <c r="A48">
        <v>10231</v>
      </c>
      <c r="B48" t="s">
        <v>106</v>
      </c>
      <c r="C48" t="s">
        <v>208</v>
      </c>
      <c r="D48" t="s">
        <v>5</v>
      </c>
      <c r="E48">
        <v>2</v>
      </c>
      <c r="F48" s="1">
        <v>15322.93</v>
      </c>
    </row>
    <row r="49" spans="1:6" x14ac:dyDescent="0.25">
      <c r="A49">
        <v>10228</v>
      </c>
      <c r="B49" t="s">
        <v>117</v>
      </c>
      <c r="C49" t="s">
        <v>223</v>
      </c>
      <c r="D49" t="s">
        <v>8</v>
      </c>
      <c r="E49">
        <v>6</v>
      </c>
      <c r="F49" s="1">
        <v>20355.240000000002</v>
      </c>
    </row>
    <row r="50" spans="1:6" x14ac:dyDescent="0.25">
      <c r="A50">
        <v>10249</v>
      </c>
      <c r="B50" t="s">
        <v>117</v>
      </c>
      <c r="C50" t="s">
        <v>223</v>
      </c>
      <c r="D50" t="s">
        <v>8</v>
      </c>
      <c r="E50">
        <v>5</v>
      </c>
      <c r="F50" s="1">
        <v>11843.45</v>
      </c>
    </row>
    <row r="51" spans="1:6" x14ac:dyDescent="0.25">
      <c r="A51">
        <v>10206</v>
      </c>
      <c r="B51" t="s">
        <v>61</v>
      </c>
      <c r="C51" t="s">
        <v>197</v>
      </c>
      <c r="D51" t="s">
        <v>62</v>
      </c>
      <c r="E51">
        <v>11</v>
      </c>
      <c r="F51" s="1">
        <v>36527.61</v>
      </c>
    </row>
    <row r="52" spans="1:6" x14ac:dyDescent="0.25">
      <c r="A52">
        <v>10313</v>
      </c>
      <c r="B52" t="s">
        <v>61</v>
      </c>
      <c r="C52" t="s">
        <v>197</v>
      </c>
      <c r="D52" t="s">
        <v>62</v>
      </c>
      <c r="E52">
        <v>11</v>
      </c>
      <c r="F52" s="1">
        <v>33594.58</v>
      </c>
    </row>
    <row r="53" spans="1:6" x14ac:dyDescent="0.25">
      <c r="A53">
        <v>10183</v>
      </c>
      <c r="B53" t="s">
        <v>78</v>
      </c>
      <c r="C53" t="s">
        <v>202</v>
      </c>
      <c r="D53" t="s">
        <v>8</v>
      </c>
      <c r="E53">
        <v>12</v>
      </c>
      <c r="F53" s="1">
        <v>34606.28</v>
      </c>
    </row>
    <row r="54" spans="1:6" x14ac:dyDescent="0.25">
      <c r="A54">
        <v>10307</v>
      </c>
      <c r="B54" t="s">
        <v>78</v>
      </c>
      <c r="C54" t="s">
        <v>202</v>
      </c>
      <c r="D54" t="s">
        <v>8</v>
      </c>
      <c r="E54">
        <v>9</v>
      </c>
      <c r="F54" s="1">
        <v>23333.06</v>
      </c>
    </row>
    <row r="55" spans="1:6" x14ac:dyDescent="0.25">
      <c r="A55">
        <v>10337</v>
      </c>
      <c r="B55" t="s">
        <v>97</v>
      </c>
      <c r="C55" t="s">
        <v>218</v>
      </c>
      <c r="D55" t="s">
        <v>8</v>
      </c>
      <c r="E55">
        <v>9</v>
      </c>
      <c r="F55" s="1">
        <v>25505.98</v>
      </c>
    </row>
    <row r="56" spans="1:6" x14ac:dyDescent="0.25">
      <c r="A56">
        <v>10163</v>
      </c>
      <c r="B56" t="s">
        <v>97</v>
      </c>
      <c r="C56" t="s">
        <v>218</v>
      </c>
      <c r="D56" t="s">
        <v>8</v>
      </c>
      <c r="E56">
        <v>6</v>
      </c>
      <c r="F56" s="1">
        <v>22042.37</v>
      </c>
    </row>
    <row r="57" spans="1:6" x14ac:dyDescent="0.25">
      <c r="A57">
        <v>10115</v>
      </c>
      <c r="B57" t="s">
        <v>97</v>
      </c>
      <c r="C57" t="s">
        <v>218</v>
      </c>
      <c r="D57" t="s">
        <v>8</v>
      </c>
      <c r="E57">
        <v>5</v>
      </c>
      <c r="F57" s="1">
        <v>21665.98</v>
      </c>
    </row>
    <row r="58" spans="1:6" x14ac:dyDescent="0.25">
      <c r="A58">
        <v>10220</v>
      </c>
      <c r="B58" t="s">
        <v>93</v>
      </c>
      <c r="C58" t="s">
        <v>207</v>
      </c>
      <c r="D58" t="s">
        <v>94</v>
      </c>
      <c r="E58">
        <v>9</v>
      </c>
      <c r="F58" s="1">
        <v>32538.74</v>
      </c>
    </row>
    <row r="59" spans="1:6" x14ac:dyDescent="0.25">
      <c r="A59">
        <v>10297</v>
      </c>
      <c r="B59" t="s">
        <v>93</v>
      </c>
      <c r="C59" t="s">
        <v>207</v>
      </c>
      <c r="D59" t="s">
        <v>94</v>
      </c>
      <c r="E59">
        <v>7</v>
      </c>
      <c r="F59" s="1">
        <v>17359.53</v>
      </c>
    </row>
    <row r="60" spans="1:6" x14ac:dyDescent="0.25">
      <c r="A60">
        <v>10222</v>
      </c>
      <c r="B60" t="s">
        <v>36</v>
      </c>
      <c r="C60" t="s">
        <v>138</v>
      </c>
      <c r="D60" t="s">
        <v>8</v>
      </c>
      <c r="E60">
        <v>18</v>
      </c>
      <c r="F60" s="1">
        <v>56822.65</v>
      </c>
    </row>
    <row r="61" spans="1:6" x14ac:dyDescent="0.25">
      <c r="A61">
        <v>10226</v>
      </c>
      <c r="B61" t="s">
        <v>36</v>
      </c>
      <c r="C61" t="s">
        <v>138</v>
      </c>
      <c r="D61" t="s">
        <v>8</v>
      </c>
      <c r="E61">
        <v>7</v>
      </c>
      <c r="F61" s="1">
        <v>23552.59</v>
      </c>
    </row>
    <row r="62" spans="1:6" x14ac:dyDescent="0.25">
      <c r="A62">
        <v>10147</v>
      </c>
      <c r="B62" t="s">
        <v>92</v>
      </c>
      <c r="C62" t="s">
        <v>206</v>
      </c>
      <c r="D62" t="s">
        <v>8</v>
      </c>
      <c r="E62">
        <v>11</v>
      </c>
      <c r="F62" s="1">
        <v>32680.31</v>
      </c>
    </row>
    <row r="63" spans="1:6" x14ac:dyDescent="0.25">
      <c r="A63">
        <v>10369</v>
      </c>
      <c r="B63" t="s">
        <v>92</v>
      </c>
      <c r="C63" t="s">
        <v>206</v>
      </c>
      <c r="D63" t="s">
        <v>8</v>
      </c>
      <c r="E63">
        <v>8</v>
      </c>
      <c r="F63" s="1">
        <v>28322.83</v>
      </c>
    </row>
    <row r="64" spans="1:6" x14ac:dyDescent="0.25">
      <c r="A64">
        <v>10274</v>
      </c>
      <c r="B64" t="s">
        <v>92</v>
      </c>
      <c r="C64" t="s">
        <v>206</v>
      </c>
      <c r="D64" t="s">
        <v>8</v>
      </c>
      <c r="E64">
        <v>5</v>
      </c>
      <c r="F64" s="1">
        <v>12530.51</v>
      </c>
    </row>
    <row r="65" spans="1:6" x14ac:dyDescent="0.25">
      <c r="A65">
        <v>10159</v>
      </c>
      <c r="B65" t="s">
        <v>37</v>
      </c>
      <c r="C65" t="s">
        <v>142</v>
      </c>
      <c r="D65" t="s">
        <v>8</v>
      </c>
      <c r="E65">
        <v>18</v>
      </c>
      <c r="F65" s="1">
        <v>54682.68</v>
      </c>
    </row>
    <row r="66" spans="1:6" x14ac:dyDescent="0.25">
      <c r="A66">
        <v>10381</v>
      </c>
      <c r="B66" t="s">
        <v>37</v>
      </c>
      <c r="C66" t="s">
        <v>142</v>
      </c>
      <c r="D66" t="s">
        <v>8</v>
      </c>
      <c r="E66">
        <v>9</v>
      </c>
      <c r="F66" s="1">
        <v>32626.09</v>
      </c>
    </row>
    <row r="67" spans="1:6" x14ac:dyDescent="0.25">
      <c r="A67">
        <v>10162</v>
      </c>
      <c r="B67" t="s">
        <v>37</v>
      </c>
      <c r="C67" t="s">
        <v>142</v>
      </c>
      <c r="D67" t="s">
        <v>8</v>
      </c>
      <c r="E67">
        <v>10</v>
      </c>
      <c r="F67" s="1">
        <v>30876.44</v>
      </c>
    </row>
    <row r="68" spans="1:6" x14ac:dyDescent="0.25">
      <c r="A68">
        <v>10384</v>
      </c>
      <c r="B68" t="s">
        <v>37</v>
      </c>
      <c r="C68" t="s">
        <v>142</v>
      </c>
      <c r="D68" t="s">
        <v>8</v>
      </c>
      <c r="E68">
        <v>4</v>
      </c>
      <c r="F68" s="1">
        <v>14155.57</v>
      </c>
    </row>
    <row r="69" spans="1:6" x14ac:dyDescent="0.25">
      <c r="A69">
        <v>10126</v>
      </c>
      <c r="B69" t="s">
        <v>38</v>
      </c>
      <c r="C69" t="s">
        <v>137</v>
      </c>
      <c r="D69" t="s">
        <v>5</v>
      </c>
      <c r="E69">
        <v>17</v>
      </c>
      <c r="F69" s="1">
        <v>57131.92</v>
      </c>
    </row>
    <row r="70" spans="1:6" x14ac:dyDescent="0.25">
      <c r="A70">
        <v>10348</v>
      </c>
      <c r="B70" t="s">
        <v>38</v>
      </c>
      <c r="C70" t="s">
        <v>137</v>
      </c>
      <c r="D70" t="s">
        <v>5</v>
      </c>
      <c r="E70">
        <v>8</v>
      </c>
      <c r="F70" s="1">
        <v>33145.56</v>
      </c>
    </row>
    <row r="71" spans="1:6" x14ac:dyDescent="0.25">
      <c r="A71">
        <v>10214</v>
      </c>
      <c r="B71" t="s">
        <v>38</v>
      </c>
      <c r="C71" t="s">
        <v>137</v>
      </c>
      <c r="D71" t="s">
        <v>5</v>
      </c>
      <c r="E71">
        <v>7</v>
      </c>
      <c r="F71" s="1">
        <v>22162.61</v>
      </c>
    </row>
    <row r="72" spans="1:6" x14ac:dyDescent="0.25">
      <c r="A72">
        <v>10108</v>
      </c>
      <c r="B72" t="s">
        <v>75</v>
      </c>
      <c r="C72" t="s">
        <v>155</v>
      </c>
      <c r="D72" t="s">
        <v>76</v>
      </c>
      <c r="E72">
        <v>16</v>
      </c>
      <c r="F72" s="1">
        <v>51001.22</v>
      </c>
    </row>
    <row r="73" spans="1:6" x14ac:dyDescent="0.25">
      <c r="A73">
        <v>10198</v>
      </c>
      <c r="B73" t="s">
        <v>75</v>
      </c>
      <c r="C73" t="s">
        <v>155</v>
      </c>
      <c r="D73" t="s">
        <v>76</v>
      </c>
      <c r="E73">
        <v>6</v>
      </c>
      <c r="F73" s="1">
        <v>20644.240000000002</v>
      </c>
    </row>
    <row r="74" spans="1:6" x14ac:dyDescent="0.25">
      <c r="A74">
        <v>10330</v>
      </c>
      <c r="B74" t="s">
        <v>75</v>
      </c>
      <c r="C74" t="s">
        <v>155</v>
      </c>
      <c r="D74" t="s">
        <v>76</v>
      </c>
      <c r="E74">
        <v>4</v>
      </c>
      <c r="F74" s="1">
        <v>15822.84</v>
      </c>
    </row>
    <row r="75" spans="1:6" x14ac:dyDescent="0.25">
      <c r="A75">
        <v>10180</v>
      </c>
      <c r="B75" t="s">
        <v>72</v>
      </c>
      <c r="C75" t="s">
        <v>183</v>
      </c>
      <c r="D75" t="s">
        <v>15</v>
      </c>
      <c r="E75">
        <v>14</v>
      </c>
      <c r="F75" s="1">
        <v>42783.81</v>
      </c>
    </row>
    <row r="76" spans="1:6" x14ac:dyDescent="0.25">
      <c r="A76">
        <v>10224</v>
      </c>
      <c r="B76" t="s">
        <v>72</v>
      </c>
      <c r="C76" t="s">
        <v>183</v>
      </c>
      <c r="D76" t="s">
        <v>15</v>
      </c>
      <c r="E76">
        <v>6</v>
      </c>
      <c r="F76" s="1">
        <v>18997.89</v>
      </c>
    </row>
    <row r="77" spans="1:6" x14ac:dyDescent="0.25">
      <c r="A77">
        <v>10105</v>
      </c>
      <c r="B77" t="s">
        <v>71</v>
      </c>
      <c r="C77" t="s">
        <v>143</v>
      </c>
      <c r="D77" t="s">
        <v>21</v>
      </c>
      <c r="E77">
        <v>15</v>
      </c>
      <c r="F77" s="1">
        <v>53959.21</v>
      </c>
    </row>
    <row r="78" spans="1:6" x14ac:dyDescent="0.25">
      <c r="A78">
        <v>10238</v>
      </c>
      <c r="B78" t="s">
        <v>71</v>
      </c>
      <c r="C78" t="s">
        <v>143</v>
      </c>
      <c r="D78" t="s">
        <v>21</v>
      </c>
      <c r="E78">
        <v>8</v>
      </c>
      <c r="F78" s="1">
        <v>28211.7</v>
      </c>
    </row>
    <row r="79" spans="1:6" x14ac:dyDescent="0.25">
      <c r="A79">
        <v>10406</v>
      </c>
      <c r="B79" t="s">
        <v>71</v>
      </c>
      <c r="C79" t="s">
        <v>143</v>
      </c>
      <c r="D79" t="s">
        <v>21</v>
      </c>
      <c r="E79">
        <v>3</v>
      </c>
      <c r="F79" s="1">
        <v>21638.62</v>
      </c>
    </row>
    <row r="80" spans="1:6" x14ac:dyDescent="0.25">
      <c r="A80">
        <v>10327</v>
      </c>
      <c r="B80" t="s">
        <v>71</v>
      </c>
      <c r="C80" t="s">
        <v>143</v>
      </c>
      <c r="D80" t="s">
        <v>21</v>
      </c>
      <c r="E80">
        <v>8</v>
      </c>
      <c r="F80" s="1">
        <v>20564.86</v>
      </c>
    </row>
    <row r="81" spans="1:6" x14ac:dyDescent="0.25">
      <c r="A81">
        <v>10256</v>
      </c>
      <c r="B81" t="s">
        <v>71</v>
      </c>
      <c r="C81" t="s">
        <v>143</v>
      </c>
      <c r="D81" t="s">
        <v>21</v>
      </c>
      <c r="E81">
        <v>2</v>
      </c>
      <c r="F81" s="1">
        <v>4710.7299999999996</v>
      </c>
    </row>
    <row r="82" spans="1:6" x14ac:dyDescent="0.25">
      <c r="A82">
        <v>10281</v>
      </c>
      <c r="B82" t="s">
        <v>42</v>
      </c>
      <c r="C82" t="s">
        <v>190</v>
      </c>
      <c r="D82" t="s">
        <v>8</v>
      </c>
      <c r="E82">
        <v>14</v>
      </c>
      <c r="F82" s="1">
        <v>39641.43</v>
      </c>
    </row>
    <row r="83" spans="1:6" x14ac:dyDescent="0.25">
      <c r="A83">
        <v>10318</v>
      </c>
      <c r="B83" t="s">
        <v>42</v>
      </c>
      <c r="C83" t="s">
        <v>190</v>
      </c>
      <c r="D83" t="s">
        <v>8</v>
      </c>
      <c r="E83">
        <v>9</v>
      </c>
      <c r="F83" s="1">
        <v>35152.120000000003</v>
      </c>
    </row>
    <row r="84" spans="1:6" x14ac:dyDescent="0.25">
      <c r="A84">
        <v>10272</v>
      </c>
      <c r="B84" t="s">
        <v>42</v>
      </c>
      <c r="C84" t="s">
        <v>190</v>
      </c>
      <c r="D84" t="s">
        <v>8</v>
      </c>
      <c r="E84">
        <v>6</v>
      </c>
      <c r="F84" s="1">
        <v>23715.7</v>
      </c>
    </row>
    <row r="85" spans="1:6" x14ac:dyDescent="0.25">
      <c r="A85">
        <v>10422</v>
      </c>
      <c r="B85" t="s">
        <v>42</v>
      </c>
      <c r="C85" t="s">
        <v>190</v>
      </c>
      <c r="D85" t="s">
        <v>8</v>
      </c>
      <c r="E85">
        <v>2</v>
      </c>
      <c r="F85" s="1">
        <v>5849.44</v>
      </c>
    </row>
    <row r="86" spans="1:6" x14ac:dyDescent="0.25">
      <c r="A86">
        <v>10207</v>
      </c>
      <c r="B86" t="s">
        <v>67</v>
      </c>
      <c r="C86" t="s">
        <v>135</v>
      </c>
      <c r="D86" t="s">
        <v>8</v>
      </c>
      <c r="E86">
        <v>16</v>
      </c>
      <c r="F86" s="1">
        <v>59265.14</v>
      </c>
    </row>
    <row r="87" spans="1:6" x14ac:dyDescent="0.25">
      <c r="A87">
        <v>10243</v>
      </c>
      <c r="B87" t="s">
        <v>67</v>
      </c>
      <c r="C87" t="s">
        <v>135</v>
      </c>
      <c r="D87" t="s">
        <v>8</v>
      </c>
      <c r="E87">
        <v>2</v>
      </c>
      <c r="F87" s="1">
        <v>6276.6</v>
      </c>
    </row>
    <row r="88" spans="1:6" x14ac:dyDescent="0.25">
      <c r="A88">
        <v>10186</v>
      </c>
      <c r="B88" t="s">
        <v>118</v>
      </c>
      <c r="C88" t="s">
        <v>221</v>
      </c>
      <c r="D88" t="s">
        <v>13</v>
      </c>
      <c r="E88">
        <v>9</v>
      </c>
      <c r="F88" s="1">
        <v>22275.73</v>
      </c>
    </row>
    <row r="89" spans="1:6" x14ac:dyDescent="0.25">
      <c r="A89">
        <v>10213</v>
      </c>
      <c r="B89" t="s">
        <v>118</v>
      </c>
      <c r="C89" t="s">
        <v>221</v>
      </c>
      <c r="D89" t="s">
        <v>13</v>
      </c>
      <c r="E89">
        <v>3</v>
      </c>
      <c r="F89" s="1">
        <v>7310.42</v>
      </c>
    </row>
    <row r="90" spans="1:6" x14ac:dyDescent="0.25">
      <c r="A90">
        <v>10404</v>
      </c>
      <c r="B90" t="s">
        <v>64</v>
      </c>
      <c r="C90" t="s">
        <v>188</v>
      </c>
      <c r="D90" t="s">
        <v>34</v>
      </c>
      <c r="E90">
        <v>8</v>
      </c>
      <c r="F90" s="1">
        <v>41426.81</v>
      </c>
    </row>
    <row r="91" spans="1:6" x14ac:dyDescent="0.25">
      <c r="A91">
        <v>10354</v>
      </c>
      <c r="B91" t="s">
        <v>64</v>
      </c>
      <c r="C91" t="s">
        <v>188</v>
      </c>
      <c r="D91" t="s">
        <v>34</v>
      </c>
      <c r="E91">
        <v>13</v>
      </c>
      <c r="F91" s="1">
        <v>39440.589999999997</v>
      </c>
    </row>
    <row r="92" spans="1:6" x14ac:dyDescent="0.25">
      <c r="A92">
        <v>10254</v>
      </c>
      <c r="B92" t="s">
        <v>64</v>
      </c>
      <c r="C92" t="s">
        <v>188</v>
      </c>
      <c r="D92" t="s">
        <v>34</v>
      </c>
      <c r="E92">
        <v>13</v>
      </c>
      <c r="F92" s="1">
        <v>37281.360000000001</v>
      </c>
    </row>
    <row r="93" spans="1:6" x14ac:dyDescent="0.25">
      <c r="A93">
        <v>10393</v>
      </c>
      <c r="B93" t="s">
        <v>64</v>
      </c>
      <c r="C93" t="s">
        <v>188</v>
      </c>
      <c r="D93" t="s">
        <v>34</v>
      </c>
      <c r="E93">
        <v>11</v>
      </c>
      <c r="F93" s="1">
        <v>33593.32</v>
      </c>
    </row>
    <row r="94" spans="1:6" x14ac:dyDescent="0.25">
      <c r="A94">
        <v>10132</v>
      </c>
      <c r="B94" t="s">
        <v>64</v>
      </c>
      <c r="C94" t="s">
        <v>188</v>
      </c>
      <c r="D94" t="s">
        <v>34</v>
      </c>
      <c r="E94">
        <v>1</v>
      </c>
      <c r="F94" s="1">
        <v>2880</v>
      </c>
    </row>
    <row r="95" spans="1:6" x14ac:dyDescent="0.25">
      <c r="A95">
        <v>10165</v>
      </c>
      <c r="B95" t="s">
        <v>39</v>
      </c>
      <c r="C95" t="s">
        <v>131</v>
      </c>
      <c r="D95" t="s">
        <v>40</v>
      </c>
      <c r="E95">
        <v>18</v>
      </c>
      <c r="F95" s="1">
        <v>67392.850000000006</v>
      </c>
    </row>
    <row r="96" spans="1:6" x14ac:dyDescent="0.25">
      <c r="A96">
        <v>10117</v>
      </c>
      <c r="B96" t="s">
        <v>39</v>
      </c>
      <c r="C96" t="s">
        <v>131</v>
      </c>
      <c r="D96" t="s">
        <v>40</v>
      </c>
      <c r="E96">
        <v>12</v>
      </c>
      <c r="F96" s="1">
        <v>44380.15</v>
      </c>
    </row>
    <row r="97" spans="1:6" x14ac:dyDescent="0.25">
      <c r="A97">
        <v>10150</v>
      </c>
      <c r="B97" t="s">
        <v>39</v>
      </c>
      <c r="C97" t="s">
        <v>131</v>
      </c>
      <c r="D97" t="s">
        <v>40</v>
      </c>
      <c r="E97">
        <v>11</v>
      </c>
      <c r="F97" s="1">
        <v>38350.15</v>
      </c>
    </row>
    <row r="98" spans="1:6" x14ac:dyDescent="0.25">
      <c r="A98">
        <v>10387</v>
      </c>
      <c r="B98" t="s">
        <v>39</v>
      </c>
      <c r="C98" t="s">
        <v>131</v>
      </c>
      <c r="D98" t="s">
        <v>40</v>
      </c>
      <c r="E98">
        <v>1</v>
      </c>
      <c r="F98" s="1">
        <v>3516.04</v>
      </c>
    </row>
    <row r="99" spans="1:6" x14ac:dyDescent="0.25">
      <c r="A99">
        <v>10277</v>
      </c>
      <c r="B99" t="s">
        <v>39</v>
      </c>
      <c r="C99" t="s">
        <v>131</v>
      </c>
      <c r="D99" t="s">
        <v>40</v>
      </c>
      <c r="E99">
        <v>1</v>
      </c>
      <c r="F99" s="1">
        <v>2611.84</v>
      </c>
    </row>
    <row r="100" spans="1:6" x14ac:dyDescent="0.25">
      <c r="A100">
        <v>10197</v>
      </c>
      <c r="B100" t="s">
        <v>102</v>
      </c>
      <c r="C100" t="s">
        <v>189</v>
      </c>
      <c r="D100" t="s">
        <v>5</v>
      </c>
      <c r="E100">
        <v>14</v>
      </c>
      <c r="F100" s="1">
        <v>40473.86</v>
      </c>
    </row>
    <row r="101" spans="1:6" x14ac:dyDescent="0.25">
      <c r="A101">
        <v>10340</v>
      </c>
      <c r="B101" t="s">
        <v>102</v>
      </c>
      <c r="C101" t="s">
        <v>189</v>
      </c>
      <c r="D101" t="s">
        <v>5</v>
      </c>
      <c r="E101">
        <v>8</v>
      </c>
      <c r="F101" s="1">
        <v>24945.21</v>
      </c>
    </row>
    <row r="102" spans="1:6" x14ac:dyDescent="0.25">
      <c r="A102">
        <v>10118</v>
      </c>
      <c r="B102" t="s">
        <v>102</v>
      </c>
      <c r="C102" t="s">
        <v>189</v>
      </c>
      <c r="D102" t="s">
        <v>5</v>
      </c>
      <c r="E102">
        <v>1</v>
      </c>
      <c r="F102" s="1">
        <v>3101.4</v>
      </c>
    </row>
    <row r="103" spans="1:6" x14ac:dyDescent="0.25">
      <c r="A103">
        <v>10212</v>
      </c>
      <c r="B103" t="s">
        <v>4</v>
      </c>
      <c r="C103" t="s">
        <v>134</v>
      </c>
      <c r="D103" t="s">
        <v>5</v>
      </c>
      <c r="E103">
        <v>16</v>
      </c>
      <c r="F103" s="1">
        <v>59830.55</v>
      </c>
    </row>
    <row r="104" spans="1:6" x14ac:dyDescent="0.25">
      <c r="A104">
        <v>10262</v>
      </c>
      <c r="B104" t="s">
        <v>4</v>
      </c>
      <c r="C104" t="s">
        <v>134</v>
      </c>
      <c r="D104" t="s">
        <v>5</v>
      </c>
      <c r="E104">
        <v>16</v>
      </c>
      <c r="F104" s="1">
        <v>47065.36</v>
      </c>
    </row>
    <row r="105" spans="1:6" x14ac:dyDescent="0.25">
      <c r="A105">
        <v>10386</v>
      </c>
      <c r="B105" t="s">
        <v>4</v>
      </c>
      <c r="C105" t="s">
        <v>134</v>
      </c>
      <c r="D105" t="s">
        <v>5</v>
      </c>
      <c r="E105">
        <v>18</v>
      </c>
      <c r="F105" s="1">
        <v>46968.52</v>
      </c>
    </row>
    <row r="106" spans="1:6" x14ac:dyDescent="0.25">
      <c r="A106">
        <v>10412</v>
      </c>
      <c r="B106" t="s">
        <v>4</v>
      </c>
      <c r="C106" t="s">
        <v>134</v>
      </c>
      <c r="D106" t="s">
        <v>5</v>
      </c>
      <c r="E106">
        <v>11</v>
      </c>
      <c r="F106" s="1">
        <v>46895.48</v>
      </c>
    </row>
    <row r="107" spans="1:6" x14ac:dyDescent="0.25">
      <c r="A107">
        <v>10350</v>
      </c>
      <c r="B107" t="s">
        <v>4</v>
      </c>
      <c r="C107" t="s">
        <v>134</v>
      </c>
      <c r="D107" t="s">
        <v>5</v>
      </c>
      <c r="E107">
        <v>17</v>
      </c>
      <c r="F107" s="1">
        <v>46493.16</v>
      </c>
    </row>
    <row r="108" spans="1:6" x14ac:dyDescent="0.25">
      <c r="A108">
        <v>10153</v>
      </c>
      <c r="B108" t="s">
        <v>4</v>
      </c>
      <c r="C108" t="s">
        <v>134</v>
      </c>
      <c r="D108" t="s">
        <v>5</v>
      </c>
      <c r="E108">
        <v>13</v>
      </c>
      <c r="F108" s="1">
        <v>44939.85</v>
      </c>
    </row>
    <row r="109" spans="1:6" x14ac:dyDescent="0.25">
      <c r="A109">
        <v>10358</v>
      </c>
      <c r="B109" t="s">
        <v>4</v>
      </c>
      <c r="C109" t="s">
        <v>134</v>
      </c>
      <c r="D109" t="s">
        <v>5</v>
      </c>
      <c r="E109">
        <v>14</v>
      </c>
      <c r="F109" s="1">
        <v>44185.46</v>
      </c>
    </row>
    <row r="110" spans="1:6" x14ac:dyDescent="0.25">
      <c r="A110">
        <v>10104</v>
      </c>
      <c r="B110" t="s">
        <v>4</v>
      </c>
      <c r="C110" t="s">
        <v>134</v>
      </c>
      <c r="D110" t="s">
        <v>5</v>
      </c>
      <c r="E110">
        <v>13</v>
      </c>
      <c r="F110" s="1">
        <v>40206.199999999997</v>
      </c>
    </row>
    <row r="111" spans="1:6" x14ac:dyDescent="0.25">
      <c r="A111">
        <v>10203</v>
      </c>
      <c r="B111" t="s">
        <v>4</v>
      </c>
      <c r="C111" t="s">
        <v>134</v>
      </c>
      <c r="D111" t="s">
        <v>5</v>
      </c>
      <c r="E111">
        <v>11</v>
      </c>
      <c r="F111" s="1">
        <v>40062.53</v>
      </c>
    </row>
    <row r="112" spans="1:6" x14ac:dyDescent="0.25">
      <c r="A112">
        <v>10383</v>
      </c>
      <c r="B112" t="s">
        <v>4</v>
      </c>
      <c r="C112" t="s">
        <v>134</v>
      </c>
      <c r="D112" t="s">
        <v>5</v>
      </c>
      <c r="E112">
        <v>13</v>
      </c>
      <c r="F112" s="1">
        <v>36851.980000000003</v>
      </c>
    </row>
    <row r="113" spans="1:6" x14ac:dyDescent="0.25">
      <c r="A113">
        <v>10311</v>
      </c>
      <c r="B113" t="s">
        <v>4</v>
      </c>
      <c r="C113" t="s">
        <v>134</v>
      </c>
      <c r="D113" t="s">
        <v>5</v>
      </c>
      <c r="E113">
        <v>11</v>
      </c>
      <c r="F113" s="1">
        <v>36140.379999999997</v>
      </c>
    </row>
    <row r="114" spans="1:6" x14ac:dyDescent="0.25">
      <c r="A114">
        <v>10246</v>
      </c>
      <c r="B114" t="s">
        <v>4</v>
      </c>
      <c r="C114" t="s">
        <v>134</v>
      </c>
      <c r="D114" t="s">
        <v>5</v>
      </c>
      <c r="E114">
        <v>11</v>
      </c>
      <c r="F114" s="1">
        <v>35420.74</v>
      </c>
    </row>
    <row r="115" spans="1:6" x14ac:dyDescent="0.25">
      <c r="A115">
        <v>10380</v>
      </c>
      <c r="B115" t="s">
        <v>4</v>
      </c>
      <c r="C115" t="s">
        <v>134</v>
      </c>
      <c r="D115" t="s">
        <v>5</v>
      </c>
      <c r="E115">
        <v>13</v>
      </c>
      <c r="F115" s="1">
        <v>34404.21</v>
      </c>
    </row>
    <row r="116" spans="1:6" x14ac:dyDescent="0.25">
      <c r="A116">
        <v>10378</v>
      </c>
      <c r="B116" t="s">
        <v>4</v>
      </c>
      <c r="C116" t="s">
        <v>134</v>
      </c>
      <c r="D116" t="s">
        <v>5</v>
      </c>
      <c r="E116">
        <v>10</v>
      </c>
      <c r="F116" s="1">
        <v>32289.119999999999</v>
      </c>
    </row>
    <row r="117" spans="1:6" x14ac:dyDescent="0.25">
      <c r="A117">
        <v>10424</v>
      </c>
      <c r="B117" t="s">
        <v>4</v>
      </c>
      <c r="C117" t="s">
        <v>134</v>
      </c>
      <c r="D117" t="s">
        <v>5</v>
      </c>
      <c r="E117">
        <v>6</v>
      </c>
      <c r="F117" s="1">
        <v>29310.3</v>
      </c>
    </row>
    <row r="118" spans="1:6" x14ac:dyDescent="0.25">
      <c r="A118">
        <v>10417</v>
      </c>
      <c r="B118" t="s">
        <v>4</v>
      </c>
      <c r="C118" t="s">
        <v>134</v>
      </c>
      <c r="D118" t="s">
        <v>5</v>
      </c>
      <c r="E118">
        <v>6</v>
      </c>
      <c r="F118" s="1">
        <v>28574.9</v>
      </c>
    </row>
    <row r="119" spans="1:6" x14ac:dyDescent="0.25">
      <c r="A119">
        <v>10244</v>
      </c>
      <c r="B119" t="s">
        <v>4</v>
      </c>
      <c r="C119" t="s">
        <v>134</v>
      </c>
      <c r="D119" t="s">
        <v>5</v>
      </c>
      <c r="E119">
        <v>9</v>
      </c>
      <c r="F119" s="1">
        <v>26155.91</v>
      </c>
    </row>
    <row r="120" spans="1:6" x14ac:dyDescent="0.25">
      <c r="A120">
        <v>10355</v>
      </c>
      <c r="B120" t="s">
        <v>4</v>
      </c>
      <c r="C120" t="s">
        <v>134</v>
      </c>
      <c r="D120" t="s">
        <v>5</v>
      </c>
      <c r="E120">
        <v>10</v>
      </c>
      <c r="F120" s="1">
        <v>25529.78</v>
      </c>
    </row>
    <row r="121" spans="1:6" x14ac:dyDescent="0.25">
      <c r="A121">
        <v>10133</v>
      </c>
      <c r="B121" t="s">
        <v>4</v>
      </c>
      <c r="C121" t="s">
        <v>134</v>
      </c>
      <c r="D121" t="s">
        <v>5</v>
      </c>
      <c r="E121">
        <v>8</v>
      </c>
      <c r="F121" s="1">
        <v>22366.04</v>
      </c>
    </row>
    <row r="122" spans="1:6" x14ac:dyDescent="0.25">
      <c r="A122">
        <v>10279</v>
      </c>
      <c r="B122" t="s">
        <v>4</v>
      </c>
      <c r="C122" t="s">
        <v>134</v>
      </c>
      <c r="D122" t="s">
        <v>5</v>
      </c>
      <c r="E122">
        <v>6</v>
      </c>
      <c r="F122" s="1">
        <v>20009.53</v>
      </c>
    </row>
    <row r="123" spans="1:6" x14ac:dyDescent="0.25">
      <c r="A123">
        <v>10394</v>
      </c>
      <c r="B123" t="s">
        <v>4</v>
      </c>
      <c r="C123" t="s">
        <v>134</v>
      </c>
      <c r="D123" t="s">
        <v>5</v>
      </c>
      <c r="E123">
        <v>7</v>
      </c>
      <c r="F123" s="1">
        <v>18102.740000000002</v>
      </c>
    </row>
    <row r="124" spans="1:6" x14ac:dyDescent="0.25">
      <c r="A124">
        <v>10379</v>
      </c>
      <c r="B124" t="s">
        <v>4</v>
      </c>
      <c r="C124" t="s">
        <v>134</v>
      </c>
      <c r="D124" t="s">
        <v>5</v>
      </c>
      <c r="E124">
        <v>5</v>
      </c>
      <c r="F124" s="1">
        <v>16621.27</v>
      </c>
    </row>
    <row r="125" spans="1:6" x14ac:dyDescent="0.25">
      <c r="A125">
        <v>10128</v>
      </c>
      <c r="B125" t="s">
        <v>4</v>
      </c>
      <c r="C125" t="s">
        <v>134</v>
      </c>
      <c r="D125" t="s">
        <v>5</v>
      </c>
      <c r="E125">
        <v>4</v>
      </c>
      <c r="F125" s="1">
        <v>13884.99</v>
      </c>
    </row>
    <row r="126" spans="1:6" x14ac:dyDescent="0.25">
      <c r="A126">
        <v>10205</v>
      </c>
      <c r="B126" t="s">
        <v>4</v>
      </c>
      <c r="C126" t="s">
        <v>134</v>
      </c>
      <c r="D126" t="s">
        <v>5</v>
      </c>
      <c r="E126">
        <v>5</v>
      </c>
      <c r="F126" s="1">
        <v>13059.16</v>
      </c>
    </row>
    <row r="127" spans="1:6" x14ac:dyDescent="0.25">
      <c r="A127">
        <v>10190</v>
      </c>
      <c r="B127" t="s">
        <v>4</v>
      </c>
      <c r="C127" t="s">
        <v>134</v>
      </c>
      <c r="D127" t="s">
        <v>5</v>
      </c>
      <c r="E127">
        <v>4</v>
      </c>
      <c r="F127" s="1">
        <v>10721.86</v>
      </c>
    </row>
    <row r="128" spans="1:6" x14ac:dyDescent="0.25">
      <c r="A128">
        <v>10156</v>
      </c>
      <c r="B128" t="s">
        <v>4</v>
      </c>
      <c r="C128" t="s">
        <v>134</v>
      </c>
      <c r="D128" t="s">
        <v>5</v>
      </c>
      <c r="E128">
        <v>2</v>
      </c>
      <c r="F128" s="1">
        <v>4599.5200000000004</v>
      </c>
    </row>
    <row r="129" spans="1:6" x14ac:dyDescent="0.25">
      <c r="A129">
        <v>10268</v>
      </c>
      <c r="B129" t="s">
        <v>65</v>
      </c>
      <c r="C129" t="s">
        <v>201</v>
      </c>
      <c r="D129" t="s">
        <v>34</v>
      </c>
      <c r="E129">
        <v>11</v>
      </c>
      <c r="F129" s="1">
        <v>35034.57</v>
      </c>
    </row>
    <row r="130" spans="1:6" x14ac:dyDescent="0.25">
      <c r="A130">
        <v>10234</v>
      </c>
      <c r="B130" t="s">
        <v>65</v>
      </c>
      <c r="C130" t="s">
        <v>201</v>
      </c>
      <c r="D130" t="s">
        <v>34</v>
      </c>
      <c r="E130">
        <v>9</v>
      </c>
      <c r="F130" s="1">
        <v>31670.37</v>
      </c>
    </row>
    <row r="131" spans="1:6" x14ac:dyDescent="0.25">
      <c r="A131">
        <v>10418</v>
      </c>
      <c r="B131" t="s">
        <v>65</v>
      </c>
      <c r="C131" t="s">
        <v>201</v>
      </c>
      <c r="D131" t="s">
        <v>34</v>
      </c>
      <c r="E131">
        <v>9</v>
      </c>
      <c r="F131" s="1">
        <v>23627.439999999999</v>
      </c>
    </row>
    <row r="132" spans="1:6" x14ac:dyDescent="0.25">
      <c r="A132">
        <v>10157</v>
      </c>
      <c r="B132" t="s">
        <v>122</v>
      </c>
      <c r="C132" t="s">
        <v>224</v>
      </c>
      <c r="D132" t="s">
        <v>19</v>
      </c>
      <c r="E132">
        <v>6</v>
      </c>
      <c r="F132" s="1">
        <v>17746.259999999998</v>
      </c>
    </row>
    <row r="133" spans="1:6" x14ac:dyDescent="0.25">
      <c r="A133">
        <v>10218</v>
      </c>
      <c r="B133" t="s">
        <v>122</v>
      </c>
      <c r="C133" t="s">
        <v>224</v>
      </c>
      <c r="D133" t="s">
        <v>19</v>
      </c>
      <c r="E133">
        <v>2</v>
      </c>
      <c r="F133" s="1">
        <v>7612.06</v>
      </c>
    </row>
    <row r="134" spans="1:6" x14ac:dyDescent="0.25">
      <c r="A134">
        <v>10321</v>
      </c>
      <c r="B134" t="s">
        <v>66</v>
      </c>
      <c r="C134" t="s">
        <v>167</v>
      </c>
      <c r="D134" t="s">
        <v>8</v>
      </c>
      <c r="E134">
        <v>15</v>
      </c>
      <c r="F134" s="1">
        <v>48355.87</v>
      </c>
    </row>
    <row r="135" spans="1:6" x14ac:dyDescent="0.25">
      <c r="A135">
        <v>10388</v>
      </c>
      <c r="B135" t="s">
        <v>66</v>
      </c>
      <c r="C135" t="s">
        <v>167</v>
      </c>
      <c r="D135" t="s">
        <v>8</v>
      </c>
      <c r="E135">
        <v>8</v>
      </c>
      <c r="F135" s="1">
        <v>30293.77</v>
      </c>
    </row>
    <row r="136" spans="1:6" x14ac:dyDescent="0.25">
      <c r="A136">
        <v>10166</v>
      </c>
      <c r="B136" t="s">
        <v>66</v>
      </c>
      <c r="C136" t="s">
        <v>167</v>
      </c>
      <c r="D136" t="s">
        <v>8</v>
      </c>
      <c r="E136">
        <v>3</v>
      </c>
      <c r="F136" s="1">
        <v>9977.85</v>
      </c>
    </row>
    <row r="137" spans="1:6" x14ac:dyDescent="0.25">
      <c r="A137">
        <v>10263</v>
      </c>
      <c r="B137" t="s">
        <v>70</v>
      </c>
      <c r="C137" t="s">
        <v>186</v>
      </c>
      <c r="D137" t="s">
        <v>8</v>
      </c>
      <c r="E137">
        <v>11</v>
      </c>
      <c r="F137" s="1">
        <v>42044.77</v>
      </c>
    </row>
    <row r="138" spans="1:6" x14ac:dyDescent="0.25">
      <c r="A138">
        <v>10413</v>
      </c>
      <c r="B138" t="s">
        <v>70</v>
      </c>
      <c r="C138" t="s">
        <v>186</v>
      </c>
      <c r="D138" t="s">
        <v>8</v>
      </c>
      <c r="E138">
        <v>6</v>
      </c>
      <c r="F138" s="1">
        <v>28500.78</v>
      </c>
    </row>
    <row r="139" spans="1:6" x14ac:dyDescent="0.25">
      <c r="A139">
        <v>10172</v>
      </c>
      <c r="B139" t="s">
        <v>70</v>
      </c>
      <c r="C139" t="s">
        <v>186</v>
      </c>
      <c r="D139" t="s">
        <v>8</v>
      </c>
      <c r="E139">
        <v>8</v>
      </c>
      <c r="F139" s="1">
        <v>24879.08</v>
      </c>
    </row>
    <row r="140" spans="1:6" x14ac:dyDescent="0.25">
      <c r="A140">
        <v>10353</v>
      </c>
      <c r="B140" t="s">
        <v>114</v>
      </c>
      <c r="C140" t="s">
        <v>216</v>
      </c>
      <c r="D140" t="s">
        <v>8</v>
      </c>
      <c r="E140">
        <v>9</v>
      </c>
      <c r="F140" s="1">
        <v>26304.13</v>
      </c>
    </row>
    <row r="141" spans="1:6" x14ac:dyDescent="0.25">
      <c r="A141">
        <v>10131</v>
      </c>
      <c r="B141" t="s">
        <v>114</v>
      </c>
      <c r="C141" t="s">
        <v>216</v>
      </c>
      <c r="D141" t="s">
        <v>8</v>
      </c>
      <c r="E141">
        <v>8</v>
      </c>
      <c r="F141" s="1">
        <v>17032.29</v>
      </c>
    </row>
    <row r="142" spans="1:6" x14ac:dyDescent="0.25">
      <c r="A142">
        <v>10146</v>
      </c>
      <c r="B142" t="s">
        <v>114</v>
      </c>
      <c r="C142" t="s">
        <v>216</v>
      </c>
      <c r="D142" t="s">
        <v>8</v>
      </c>
      <c r="E142">
        <v>2</v>
      </c>
      <c r="F142" s="1">
        <v>6631.36</v>
      </c>
    </row>
    <row r="143" spans="1:6" x14ac:dyDescent="0.25">
      <c r="A143">
        <v>10414</v>
      </c>
      <c r="B143" t="s">
        <v>120</v>
      </c>
      <c r="C143" t="s">
        <v>157</v>
      </c>
      <c r="D143" t="s">
        <v>8</v>
      </c>
      <c r="E143">
        <v>14</v>
      </c>
      <c r="F143" s="1">
        <v>50806.85</v>
      </c>
    </row>
    <row r="144" spans="1:6" x14ac:dyDescent="0.25">
      <c r="A144">
        <v>10264</v>
      </c>
      <c r="B144" t="s">
        <v>120</v>
      </c>
      <c r="C144" t="s">
        <v>157</v>
      </c>
      <c r="D144" t="s">
        <v>8</v>
      </c>
      <c r="E144">
        <v>7</v>
      </c>
      <c r="F144" s="1">
        <v>18473.71</v>
      </c>
    </row>
    <row r="145" spans="1:6" x14ac:dyDescent="0.25">
      <c r="A145">
        <v>10295</v>
      </c>
      <c r="B145" t="s">
        <v>120</v>
      </c>
      <c r="C145" t="s">
        <v>157</v>
      </c>
      <c r="D145" t="s">
        <v>8</v>
      </c>
      <c r="E145">
        <v>5</v>
      </c>
      <c r="F145" s="1">
        <v>15059.76</v>
      </c>
    </row>
    <row r="146" spans="1:6" x14ac:dyDescent="0.25">
      <c r="A146">
        <v>10316</v>
      </c>
      <c r="B146" t="s">
        <v>56</v>
      </c>
      <c r="C146" t="s">
        <v>172</v>
      </c>
      <c r="D146" t="s">
        <v>13</v>
      </c>
      <c r="E146">
        <v>18</v>
      </c>
      <c r="F146" s="1">
        <v>46788.14</v>
      </c>
    </row>
    <row r="147" spans="1:6" x14ac:dyDescent="0.25">
      <c r="A147">
        <v>10232</v>
      </c>
      <c r="B147" t="s">
        <v>56</v>
      </c>
      <c r="C147" t="s">
        <v>172</v>
      </c>
      <c r="D147" t="s">
        <v>13</v>
      </c>
      <c r="E147">
        <v>8</v>
      </c>
      <c r="F147" s="1">
        <v>24995.61</v>
      </c>
    </row>
    <row r="148" spans="1:6" x14ac:dyDescent="0.25">
      <c r="A148">
        <v>10260</v>
      </c>
      <c r="B148" t="s">
        <v>82</v>
      </c>
      <c r="C148" t="s">
        <v>192</v>
      </c>
      <c r="D148" t="s">
        <v>34</v>
      </c>
      <c r="E148">
        <v>10</v>
      </c>
      <c r="F148" s="1">
        <v>37769.379999999997</v>
      </c>
    </row>
    <row r="149" spans="1:6" x14ac:dyDescent="0.25">
      <c r="A149">
        <v>10410</v>
      </c>
      <c r="B149" t="s">
        <v>82</v>
      </c>
      <c r="C149" t="s">
        <v>192</v>
      </c>
      <c r="D149" t="s">
        <v>34</v>
      </c>
      <c r="E149">
        <v>9</v>
      </c>
      <c r="F149" s="1">
        <v>36442.339999999997</v>
      </c>
    </row>
    <row r="150" spans="1:6" x14ac:dyDescent="0.25">
      <c r="A150">
        <v>10202</v>
      </c>
      <c r="B150" t="s">
        <v>82</v>
      </c>
      <c r="C150" t="s">
        <v>192</v>
      </c>
      <c r="D150" t="s">
        <v>34</v>
      </c>
      <c r="E150">
        <v>7</v>
      </c>
      <c r="F150" s="1">
        <v>20220.04</v>
      </c>
    </row>
    <row r="151" spans="1:6" x14ac:dyDescent="0.25">
      <c r="A151">
        <v>10259</v>
      </c>
      <c r="B151" t="s">
        <v>46</v>
      </c>
      <c r="C151" t="s">
        <v>181</v>
      </c>
      <c r="D151" t="s">
        <v>40</v>
      </c>
      <c r="E151">
        <v>13</v>
      </c>
      <c r="F151" s="1">
        <v>44160.92</v>
      </c>
    </row>
    <row r="152" spans="1:6" x14ac:dyDescent="0.25">
      <c r="A152">
        <v>10288</v>
      </c>
      <c r="B152" t="s">
        <v>46</v>
      </c>
      <c r="C152" t="s">
        <v>181</v>
      </c>
      <c r="D152" t="s">
        <v>40</v>
      </c>
      <c r="E152">
        <v>14</v>
      </c>
      <c r="F152" s="1">
        <v>38785.480000000003</v>
      </c>
    </row>
    <row r="153" spans="1:6" x14ac:dyDescent="0.25">
      <c r="A153">
        <v>10217</v>
      </c>
      <c r="B153" t="s">
        <v>46</v>
      </c>
      <c r="C153" t="s">
        <v>181</v>
      </c>
      <c r="D153" t="s">
        <v>40</v>
      </c>
      <c r="E153">
        <v>7</v>
      </c>
      <c r="F153" s="1">
        <v>22474.17</v>
      </c>
    </row>
    <row r="154" spans="1:6" x14ac:dyDescent="0.25">
      <c r="A154">
        <v>10409</v>
      </c>
      <c r="B154" t="s">
        <v>46</v>
      </c>
      <c r="C154" t="s">
        <v>181</v>
      </c>
      <c r="D154" t="s">
        <v>40</v>
      </c>
      <c r="E154">
        <v>2</v>
      </c>
      <c r="F154" s="1">
        <v>2326.1799999999998</v>
      </c>
    </row>
    <row r="155" spans="1:6" x14ac:dyDescent="0.25">
      <c r="A155">
        <v>10314</v>
      </c>
      <c r="B155" t="s">
        <v>20</v>
      </c>
      <c r="C155" t="s">
        <v>144</v>
      </c>
      <c r="D155" t="s">
        <v>21</v>
      </c>
      <c r="E155">
        <v>15</v>
      </c>
      <c r="F155" s="1">
        <v>53745.34</v>
      </c>
    </row>
    <row r="156" spans="1:6" x14ac:dyDescent="0.25">
      <c r="A156">
        <v>10161</v>
      </c>
      <c r="B156" t="s">
        <v>20</v>
      </c>
      <c r="C156" t="s">
        <v>144</v>
      </c>
      <c r="D156" t="s">
        <v>21</v>
      </c>
      <c r="E156">
        <v>12</v>
      </c>
      <c r="F156" s="1">
        <v>36164.46</v>
      </c>
    </row>
    <row r="157" spans="1:6" x14ac:dyDescent="0.25">
      <c r="A157">
        <v>10181</v>
      </c>
      <c r="B157" t="s">
        <v>47</v>
      </c>
      <c r="C157" t="s">
        <v>141</v>
      </c>
      <c r="D157" t="s">
        <v>48</v>
      </c>
      <c r="E157">
        <v>17</v>
      </c>
      <c r="F157" s="1">
        <v>55069.55</v>
      </c>
    </row>
    <row r="158" spans="1:6" x14ac:dyDescent="0.25">
      <c r="A158">
        <v>10188</v>
      </c>
      <c r="B158" t="s">
        <v>47</v>
      </c>
      <c r="C158" t="s">
        <v>141</v>
      </c>
      <c r="D158" t="s">
        <v>48</v>
      </c>
      <c r="E158">
        <v>8</v>
      </c>
      <c r="F158" s="1">
        <v>29954.91</v>
      </c>
    </row>
    <row r="159" spans="1:6" x14ac:dyDescent="0.25">
      <c r="A159">
        <v>10289</v>
      </c>
      <c r="B159" t="s">
        <v>47</v>
      </c>
      <c r="C159" t="s">
        <v>141</v>
      </c>
      <c r="D159" t="s">
        <v>48</v>
      </c>
      <c r="E159">
        <v>4</v>
      </c>
      <c r="F159" s="1">
        <v>12538.01</v>
      </c>
    </row>
    <row r="160" spans="1:6" x14ac:dyDescent="0.25">
      <c r="A160">
        <v>10184</v>
      </c>
      <c r="B160" t="s">
        <v>98</v>
      </c>
      <c r="C160" t="s">
        <v>169</v>
      </c>
      <c r="D160" t="s">
        <v>5</v>
      </c>
      <c r="E160">
        <v>13</v>
      </c>
      <c r="F160" s="1">
        <v>47513.19</v>
      </c>
    </row>
    <row r="161" spans="1:6" x14ac:dyDescent="0.25">
      <c r="A161">
        <v>10303</v>
      </c>
      <c r="B161" t="s">
        <v>98</v>
      </c>
      <c r="C161" t="s">
        <v>169</v>
      </c>
      <c r="D161" t="s">
        <v>5</v>
      </c>
      <c r="E161">
        <v>2</v>
      </c>
      <c r="F161" s="1">
        <v>3474.66</v>
      </c>
    </row>
    <row r="162" spans="1:6" x14ac:dyDescent="0.25">
      <c r="A162">
        <v>10360</v>
      </c>
      <c r="B162" t="s">
        <v>33</v>
      </c>
      <c r="C162" t="s">
        <v>150</v>
      </c>
      <c r="D162" t="s">
        <v>34</v>
      </c>
      <c r="E162">
        <v>18</v>
      </c>
      <c r="F162" s="1">
        <v>52166</v>
      </c>
    </row>
    <row r="163" spans="1:6" x14ac:dyDescent="0.25">
      <c r="A163">
        <v>10138</v>
      </c>
      <c r="B163" t="s">
        <v>33</v>
      </c>
      <c r="C163" t="s">
        <v>150</v>
      </c>
      <c r="D163" t="s">
        <v>34</v>
      </c>
      <c r="E163">
        <v>13</v>
      </c>
      <c r="F163" s="1">
        <v>32077.439999999999</v>
      </c>
    </row>
    <row r="164" spans="1:6" x14ac:dyDescent="0.25">
      <c r="A164">
        <v>10399</v>
      </c>
      <c r="B164" t="s">
        <v>33</v>
      </c>
      <c r="C164" t="s">
        <v>150</v>
      </c>
      <c r="D164" t="s">
        <v>34</v>
      </c>
      <c r="E164">
        <v>8</v>
      </c>
      <c r="F164" s="1">
        <v>30253.75</v>
      </c>
    </row>
    <row r="165" spans="1:6" x14ac:dyDescent="0.25">
      <c r="A165">
        <v>10179</v>
      </c>
      <c r="B165" t="s">
        <v>33</v>
      </c>
      <c r="C165" t="s">
        <v>150</v>
      </c>
      <c r="D165" t="s">
        <v>34</v>
      </c>
      <c r="E165">
        <v>9</v>
      </c>
      <c r="F165" s="1">
        <v>22963.599999999999</v>
      </c>
    </row>
    <row r="166" spans="1:6" x14ac:dyDescent="0.25">
      <c r="A166">
        <v>10187</v>
      </c>
      <c r="B166" t="s">
        <v>107</v>
      </c>
      <c r="C166" t="s">
        <v>212</v>
      </c>
      <c r="D166" t="s">
        <v>108</v>
      </c>
      <c r="E166">
        <v>10</v>
      </c>
      <c r="F166" s="1">
        <v>28287.73</v>
      </c>
    </row>
    <row r="167" spans="1:6" x14ac:dyDescent="0.25">
      <c r="A167">
        <v>10200</v>
      </c>
      <c r="B167" t="s">
        <v>107</v>
      </c>
      <c r="C167" t="s">
        <v>212</v>
      </c>
      <c r="D167" t="s">
        <v>108</v>
      </c>
      <c r="E167">
        <v>6</v>
      </c>
      <c r="F167" s="1">
        <v>17193.060000000001</v>
      </c>
    </row>
    <row r="168" spans="1:6" x14ac:dyDescent="0.25">
      <c r="A168">
        <v>10336</v>
      </c>
      <c r="B168" t="s">
        <v>69</v>
      </c>
      <c r="C168" t="s">
        <v>153</v>
      </c>
      <c r="D168" t="s">
        <v>15</v>
      </c>
      <c r="E168">
        <v>12</v>
      </c>
      <c r="F168" s="1">
        <v>51209.58</v>
      </c>
    </row>
    <row r="169" spans="1:6" x14ac:dyDescent="0.25">
      <c r="A169">
        <v>10114</v>
      </c>
      <c r="B169" t="s">
        <v>69</v>
      </c>
      <c r="C169" t="s">
        <v>153</v>
      </c>
      <c r="D169" t="s">
        <v>15</v>
      </c>
      <c r="E169">
        <v>10</v>
      </c>
      <c r="F169" s="1">
        <v>33383.14</v>
      </c>
    </row>
    <row r="170" spans="1:6" x14ac:dyDescent="0.25">
      <c r="A170">
        <v>10286</v>
      </c>
      <c r="B170" t="s">
        <v>69</v>
      </c>
      <c r="C170" t="s">
        <v>153</v>
      </c>
      <c r="D170" t="s">
        <v>15</v>
      </c>
      <c r="E170">
        <v>1</v>
      </c>
      <c r="F170" s="1">
        <v>1960.8</v>
      </c>
    </row>
    <row r="171" spans="1:6" x14ac:dyDescent="0.25">
      <c r="A171">
        <v>10375</v>
      </c>
      <c r="B171" t="s">
        <v>25</v>
      </c>
      <c r="C171" t="s">
        <v>163</v>
      </c>
      <c r="D171" t="s">
        <v>15</v>
      </c>
      <c r="E171">
        <v>15</v>
      </c>
      <c r="F171" s="1">
        <v>49523.67</v>
      </c>
    </row>
    <row r="172" spans="1:6" x14ac:dyDescent="0.25">
      <c r="A172">
        <v>10275</v>
      </c>
      <c r="B172" t="s">
        <v>25</v>
      </c>
      <c r="C172" t="s">
        <v>163</v>
      </c>
      <c r="D172" t="s">
        <v>15</v>
      </c>
      <c r="E172">
        <v>18</v>
      </c>
      <c r="F172" s="1">
        <v>47924.19</v>
      </c>
    </row>
    <row r="173" spans="1:6" x14ac:dyDescent="0.25">
      <c r="A173">
        <v>10425</v>
      </c>
      <c r="B173" t="s">
        <v>25</v>
      </c>
      <c r="C173" t="s">
        <v>163</v>
      </c>
      <c r="D173" t="s">
        <v>15</v>
      </c>
      <c r="E173">
        <v>13</v>
      </c>
      <c r="F173" s="1">
        <v>41623.440000000002</v>
      </c>
    </row>
    <row r="174" spans="1:6" x14ac:dyDescent="0.25">
      <c r="A174">
        <v>10315</v>
      </c>
      <c r="B174" t="s">
        <v>25</v>
      </c>
      <c r="C174" t="s">
        <v>163</v>
      </c>
      <c r="D174" t="s">
        <v>15</v>
      </c>
      <c r="E174">
        <v>7</v>
      </c>
      <c r="F174" s="1">
        <v>19501.82</v>
      </c>
    </row>
    <row r="175" spans="1:6" x14ac:dyDescent="0.25">
      <c r="A175">
        <v>10329</v>
      </c>
      <c r="B175" t="s">
        <v>30</v>
      </c>
      <c r="C175" t="s">
        <v>161</v>
      </c>
      <c r="D175" t="s">
        <v>8</v>
      </c>
      <c r="E175">
        <v>15</v>
      </c>
      <c r="F175" s="1">
        <v>50025.35</v>
      </c>
    </row>
    <row r="176" spans="1:6" x14ac:dyDescent="0.25">
      <c r="A176">
        <v>10248</v>
      </c>
      <c r="B176" t="s">
        <v>30</v>
      </c>
      <c r="C176" t="s">
        <v>161</v>
      </c>
      <c r="D176" t="s">
        <v>8</v>
      </c>
      <c r="E176">
        <v>14</v>
      </c>
      <c r="F176" s="1">
        <v>41445.21</v>
      </c>
    </row>
    <row r="177" spans="1:6" x14ac:dyDescent="0.25">
      <c r="A177">
        <v>10292</v>
      </c>
      <c r="B177" t="s">
        <v>30</v>
      </c>
      <c r="C177" t="s">
        <v>161</v>
      </c>
      <c r="D177" t="s">
        <v>8</v>
      </c>
      <c r="E177">
        <v>12</v>
      </c>
      <c r="F177" s="1">
        <v>35321.97</v>
      </c>
    </row>
    <row r="178" spans="1:6" x14ac:dyDescent="0.25">
      <c r="A178">
        <v>10107</v>
      </c>
      <c r="B178" t="s">
        <v>30</v>
      </c>
      <c r="C178" t="s">
        <v>161</v>
      </c>
      <c r="D178" t="s">
        <v>8</v>
      </c>
      <c r="E178">
        <v>8</v>
      </c>
      <c r="F178" s="1">
        <v>22292.62</v>
      </c>
    </row>
    <row r="179" spans="1:6" x14ac:dyDescent="0.25">
      <c r="A179">
        <v>10266</v>
      </c>
      <c r="B179" t="s">
        <v>18</v>
      </c>
      <c r="C179" t="s">
        <v>152</v>
      </c>
      <c r="D179" t="s">
        <v>19</v>
      </c>
      <c r="E179">
        <v>15</v>
      </c>
      <c r="F179" s="1">
        <v>51619.02</v>
      </c>
    </row>
    <row r="180" spans="1:6" x14ac:dyDescent="0.25">
      <c r="A180">
        <v>10176</v>
      </c>
      <c r="B180" t="s">
        <v>18</v>
      </c>
      <c r="C180" t="s">
        <v>152</v>
      </c>
      <c r="D180" t="s">
        <v>19</v>
      </c>
      <c r="E180">
        <v>10</v>
      </c>
      <c r="F180" s="1">
        <v>38524.29</v>
      </c>
    </row>
    <row r="181" spans="1:6" x14ac:dyDescent="0.25">
      <c r="A181">
        <v>10416</v>
      </c>
      <c r="B181" t="s">
        <v>18</v>
      </c>
      <c r="C181" t="s">
        <v>152</v>
      </c>
      <c r="D181" t="s">
        <v>19</v>
      </c>
      <c r="E181">
        <v>14</v>
      </c>
      <c r="F181" s="1">
        <v>35362.26</v>
      </c>
    </row>
    <row r="182" spans="1:6" x14ac:dyDescent="0.25">
      <c r="A182">
        <v>10356</v>
      </c>
      <c r="B182" t="s">
        <v>96</v>
      </c>
      <c r="C182" t="s">
        <v>215</v>
      </c>
      <c r="D182" t="s">
        <v>15</v>
      </c>
      <c r="E182">
        <v>9</v>
      </c>
      <c r="F182" s="1">
        <v>26311.63</v>
      </c>
    </row>
    <row r="183" spans="1:6" x14ac:dyDescent="0.25">
      <c r="A183">
        <v>10134</v>
      </c>
      <c r="B183" t="s">
        <v>96</v>
      </c>
      <c r="C183" t="s">
        <v>215</v>
      </c>
      <c r="D183" t="s">
        <v>15</v>
      </c>
      <c r="E183">
        <v>7</v>
      </c>
      <c r="F183" s="1">
        <v>23419.47</v>
      </c>
    </row>
    <row r="184" spans="1:6" x14ac:dyDescent="0.25">
      <c r="A184">
        <v>10395</v>
      </c>
      <c r="B184" t="s">
        <v>96</v>
      </c>
      <c r="C184" t="s">
        <v>215</v>
      </c>
      <c r="D184" t="s">
        <v>15</v>
      </c>
      <c r="E184">
        <v>4</v>
      </c>
      <c r="F184" s="1">
        <v>17928.09</v>
      </c>
    </row>
    <row r="185" spans="1:6" x14ac:dyDescent="0.25">
      <c r="A185">
        <v>10122</v>
      </c>
      <c r="B185" t="s">
        <v>99</v>
      </c>
      <c r="C185" t="s">
        <v>156</v>
      </c>
      <c r="D185" t="s">
        <v>15</v>
      </c>
      <c r="E185">
        <v>17</v>
      </c>
      <c r="F185" s="1">
        <v>50824.66</v>
      </c>
    </row>
    <row r="186" spans="1:6" x14ac:dyDescent="0.25">
      <c r="A186">
        <v>10344</v>
      </c>
      <c r="B186" t="s">
        <v>99</v>
      </c>
      <c r="C186" t="s">
        <v>156</v>
      </c>
      <c r="D186" t="s">
        <v>15</v>
      </c>
      <c r="E186">
        <v>7</v>
      </c>
      <c r="F186" s="1">
        <v>18888.310000000001</v>
      </c>
    </row>
    <row r="187" spans="1:6" x14ac:dyDescent="0.25">
      <c r="A187">
        <v>10364</v>
      </c>
      <c r="B187" t="s">
        <v>99</v>
      </c>
      <c r="C187" t="s">
        <v>156</v>
      </c>
      <c r="D187" t="s">
        <v>15</v>
      </c>
      <c r="E187">
        <v>1</v>
      </c>
      <c r="F187" s="1">
        <v>1834.56</v>
      </c>
    </row>
    <row r="188" spans="1:6" x14ac:dyDescent="0.25">
      <c r="A188">
        <v>10305</v>
      </c>
      <c r="B188" t="s">
        <v>17</v>
      </c>
      <c r="C188" t="s">
        <v>170</v>
      </c>
      <c r="D188" t="s">
        <v>8</v>
      </c>
      <c r="E188">
        <v>14</v>
      </c>
      <c r="F188" s="1">
        <v>47411.33</v>
      </c>
    </row>
    <row r="189" spans="1:6" x14ac:dyDescent="0.25">
      <c r="A189">
        <v>10285</v>
      </c>
      <c r="B189" t="s">
        <v>17</v>
      </c>
      <c r="C189" t="s">
        <v>170</v>
      </c>
      <c r="D189" t="s">
        <v>8</v>
      </c>
      <c r="E189">
        <v>13</v>
      </c>
      <c r="F189" s="1">
        <v>43134.04</v>
      </c>
    </row>
    <row r="190" spans="1:6" x14ac:dyDescent="0.25">
      <c r="A190">
        <v>10209</v>
      </c>
      <c r="B190" t="s">
        <v>109</v>
      </c>
      <c r="C190" t="s">
        <v>222</v>
      </c>
      <c r="D190" t="s">
        <v>8</v>
      </c>
      <c r="E190">
        <v>8</v>
      </c>
      <c r="F190" s="1">
        <v>21053.69</v>
      </c>
    </row>
    <row r="191" spans="1:6" x14ac:dyDescent="0.25">
      <c r="A191">
        <v>10160</v>
      </c>
      <c r="B191" t="s">
        <v>109</v>
      </c>
      <c r="C191" t="s">
        <v>222</v>
      </c>
      <c r="D191" t="s">
        <v>8</v>
      </c>
      <c r="E191">
        <v>6</v>
      </c>
      <c r="F191" s="1">
        <v>20452.5</v>
      </c>
    </row>
    <row r="192" spans="1:6" x14ac:dyDescent="0.25">
      <c r="A192">
        <v>10319</v>
      </c>
      <c r="B192" t="s">
        <v>121</v>
      </c>
      <c r="C192" t="s">
        <v>213</v>
      </c>
      <c r="D192" t="s">
        <v>8</v>
      </c>
      <c r="E192">
        <v>9</v>
      </c>
      <c r="F192" s="1">
        <v>27550.51</v>
      </c>
    </row>
    <row r="193" spans="1:6" x14ac:dyDescent="0.25">
      <c r="A193">
        <v>10242</v>
      </c>
      <c r="B193" t="s">
        <v>121</v>
      </c>
      <c r="C193" t="s">
        <v>213</v>
      </c>
      <c r="D193" t="s">
        <v>8</v>
      </c>
      <c r="E193">
        <v>1</v>
      </c>
      <c r="F193" s="1">
        <v>1679.92</v>
      </c>
    </row>
    <row r="194" spans="1:6" x14ac:dyDescent="0.25">
      <c r="A194">
        <v>10164</v>
      </c>
      <c r="B194" t="s">
        <v>116</v>
      </c>
      <c r="C194" t="s">
        <v>214</v>
      </c>
      <c r="D194" t="s">
        <v>91</v>
      </c>
      <c r="E194">
        <v>8</v>
      </c>
      <c r="F194" s="1">
        <v>27121.9</v>
      </c>
    </row>
    <row r="195" spans="1:6" x14ac:dyDescent="0.25">
      <c r="A195">
        <v>10170</v>
      </c>
      <c r="B195" t="s">
        <v>116</v>
      </c>
      <c r="C195" t="s">
        <v>214</v>
      </c>
      <c r="D195" t="s">
        <v>91</v>
      </c>
      <c r="E195">
        <v>4</v>
      </c>
      <c r="F195" s="1">
        <v>15130.97</v>
      </c>
    </row>
    <row r="196" spans="1:6" x14ac:dyDescent="0.25">
      <c r="A196">
        <v>10392</v>
      </c>
      <c r="B196" t="s">
        <v>116</v>
      </c>
      <c r="C196" t="s">
        <v>214</v>
      </c>
      <c r="D196" t="s">
        <v>91</v>
      </c>
      <c r="E196">
        <v>3</v>
      </c>
      <c r="F196" s="1">
        <v>8807.1200000000008</v>
      </c>
    </row>
    <row r="197" spans="1:6" x14ac:dyDescent="0.25">
      <c r="A197">
        <v>10241</v>
      </c>
      <c r="B197" t="s">
        <v>111</v>
      </c>
      <c r="C197" t="s">
        <v>199</v>
      </c>
      <c r="D197" t="s">
        <v>15</v>
      </c>
      <c r="E197">
        <v>12</v>
      </c>
      <c r="F197" s="1">
        <v>36069.26</v>
      </c>
    </row>
    <row r="198" spans="1:6" x14ac:dyDescent="0.25">
      <c r="A198">
        <v>10405</v>
      </c>
      <c r="B198" t="s">
        <v>111</v>
      </c>
      <c r="C198" t="s">
        <v>199</v>
      </c>
      <c r="D198" t="s">
        <v>15</v>
      </c>
      <c r="E198">
        <v>5</v>
      </c>
      <c r="F198" s="1">
        <v>35157.75</v>
      </c>
    </row>
    <row r="199" spans="1:6" x14ac:dyDescent="0.25">
      <c r="A199">
        <v>10255</v>
      </c>
      <c r="B199" t="s">
        <v>111</v>
      </c>
      <c r="C199" t="s">
        <v>199</v>
      </c>
      <c r="D199" t="s">
        <v>15</v>
      </c>
      <c r="E199">
        <v>2</v>
      </c>
      <c r="F199" s="1">
        <v>4632.3100000000004</v>
      </c>
    </row>
    <row r="200" spans="1:6" x14ac:dyDescent="0.25">
      <c r="A200">
        <v>10308</v>
      </c>
      <c r="B200" t="s">
        <v>41</v>
      </c>
      <c r="C200" t="s">
        <v>184</v>
      </c>
      <c r="D200" t="s">
        <v>8</v>
      </c>
      <c r="E200">
        <v>16</v>
      </c>
      <c r="F200" s="1">
        <v>42339.76</v>
      </c>
    </row>
    <row r="201" spans="1:6" x14ac:dyDescent="0.25">
      <c r="A201">
        <v>10195</v>
      </c>
      <c r="B201" t="s">
        <v>41</v>
      </c>
      <c r="C201" t="s">
        <v>184</v>
      </c>
      <c r="D201" t="s">
        <v>8</v>
      </c>
      <c r="E201">
        <v>10</v>
      </c>
      <c r="F201" s="1">
        <v>36092.400000000001</v>
      </c>
    </row>
    <row r="202" spans="1:6" x14ac:dyDescent="0.25">
      <c r="A202">
        <v>10185</v>
      </c>
      <c r="B202" t="s">
        <v>53</v>
      </c>
      <c r="C202" t="s">
        <v>147</v>
      </c>
      <c r="D202" t="s">
        <v>8</v>
      </c>
      <c r="E202">
        <v>16</v>
      </c>
      <c r="F202" s="1">
        <v>52548.49</v>
      </c>
    </row>
    <row r="203" spans="1:6" x14ac:dyDescent="0.25">
      <c r="A203">
        <v>10143</v>
      </c>
      <c r="B203" t="s">
        <v>53</v>
      </c>
      <c r="C203" t="s">
        <v>147</v>
      </c>
      <c r="D203" t="s">
        <v>8</v>
      </c>
      <c r="E203">
        <v>16</v>
      </c>
      <c r="F203" s="1">
        <v>41016.75</v>
      </c>
    </row>
    <row r="204" spans="1:6" x14ac:dyDescent="0.25">
      <c r="A204">
        <v>10365</v>
      </c>
      <c r="B204" t="s">
        <v>53</v>
      </c>
      <c r="C204" t="s">
        <v>147</v>
      </c>
      <c r="D204" t="s">
        <v>8</v>
      </c>
      <c r="E204">
        <v>3</v>
      </c>
      <c r="F204" s="1">
        <v>8307.2800000000007</v>
      </c>
    </row>
    <row r="205" spans="1:6" x14ac:dyDescent="0.25">
      <c r="A205">
        <v>10142</v>
      </c>
      <c r="B205" t="s">
        <v>7</v>
      </c>
      <c r="C205" t="s">
        <v>139</v>
      </c>
      <c r="D205" t="s">
        <v>8</v>
      </c>
      <c r="E205">
        <v>16</v>
      </c>
      <c r="F205" s="1">
        <v>56052.56</v>
      </c>
    </row>
    <row r="206" spans="1:6" x14ac:dyDescent="0.25">
      <c r="A206">
        <v>10390</v>
      </c>
      <c r="B206" t="s">
        <v>7</v>
      </c>
      <c r="C206" t="s">
        <v>139</v>
      </c>
      <c r="D206" t="s">
        <v>8</v>
      </c>
      <c r="E206">
        <v>16</v>
      </c>
      <c r="F206" s="1">
        <v>55902.5</v>
      </c>
    </row>
    <row r="207" spans="1:6" x14ac:dyDescent="0.25">
      <c r="A207">
        <v>10312</v>
      </c>
      <c r="B207" t="s">
        <v>7</v>
      </c>
      <c r="C207" t="s">
        <v>139</v>
      </c>
      <c r="D207" t="s">
        <v>8</v>
      </c>
      <c r="E207">
        <v>17</v>
      </c>
      <c r="F207" s="1">
        <v>55639.66</v>
      </c>
    </row>
    <row r="208" spans="1:6" x14ac:dyDescent="0.25">
      <c r="A208">
        <v>10135</v>
      </c>
      <c r="B208" t="s">
        <v>7</v>
      </c>
      <c r="C208" t="s">
        <v>139</v>
      </c>
      <c r="D208" t="s">
        <v>8</v>
      </c>
      <c r="E208">
        <v>17</v>
      </c>
      <c r="F208" s="1">
        <v>55601.84</v>
      </c>
    </row>
    <row r="209" spans="1:6" x14ac:dyDescent="0.25">
      <c r="A209">
        <v>10282</v>
      </c>
      <c r="B209" t="s">
        <v>7</v>
      </c>
      <c r="C209" t="s">
        <v>139</v>
      </c>
      <c r="D209" t="s">
        <v>8</v>
      </c>
      <c r="E209">
        <v>13</v>
      </c>
      <c r="F209" s="1">
        <v>47979.98</v>
      </c>
    </row>
    <row r="210" spans="1:6" x14ac:dyDescent="0.25">
      <c r="A210">
        <v>10382</v>
      </c>
      <c r="B210" t="s">
        <v>7</v>
      </c>
      <c r="C210" t="s">
        <v>139</v>
      </c>
      <c r="D210" t="s">
        <v>8</v>
      </c>
      <c r="E210">
        <v>13</v>
      </c>
      <c r="F210" s="1">
        <v>47765.59</v>
      </c>
    </row>
    <row r="211" spans="1:6" x14ac:dyDescent="0.25">
      <c r="A211">
        <v>10182</v>
      </c>
      <c r="B211" t="s">
        <v>7</v>
      </c>
      <c r="C211" t="s">
        <v>139</v>
      </c>
      <c r="D211" t="s">
        <v>8</v>
      </c>
      <c r="E211">
        <v>17</v>
      </c>
      <c r="F211" s="1">
        <v>45084.38</v>
      </c>
    </row>
    <row r="212" spans="1:6" x14ac:dyDescent="0.25">
      <c r="A212">
        <v>10229</v>
      </c>
      <c r="B212" t="s">
        <v>7</v>
      </c>
      <c r="C212" t="s">
        <v>139</v>
      </c>
      <c r="D212" t="s">
        <v>8</v>
      </c>
      <c r="E212">
        <v>14</v>
      </c>
      <c r="F212" s="1">
        <v>43369.3</v>
      </c>
    </row>
    <row r="213" spans="1:6" x14ac:dyDescent="0.25">
      <c r="A213">
        <v>10357</v>
      </c>
      <c r="B213" t="s">
        <v>7</v>
      </c>
      <c r="C213" t="s">
        <v>139</v>
      </c>
      <c r="D213" t="s">
        <v>8</v>
      </c>
      <c r="E213">
        <v>10</v>
      </c>
      <c r="F213" s="1">
        <v>40676.26</v>
      </c>
    </row>
    <row r="214" spans="1:6" x14ac:dyDescent="0.25">
      <c r="A214">
        <v>10271</v>
      </c>
      <c r="B214" t="s">
        <v>7</v>
      </c>
      <c r="C214" t="s">
        <v>139</v>
      </c>
      <c r="D214" t="s">
        <v>8</v>
      </c>
      <c r="E214">
        <v>11</v>
      </c>
      <c r="F214" s="1">
        <v>37430.89</v>
      </c>
    </row>
    <row r="215" spans="1:6" x14ac:dyDescent="0.25">
      <c r="A215">
        <v>10371</v>
      </c>
      <c r="B215" t="s">
        <v>7</v>
      </c>
      <c r="C215" t="s">
        <v>139</v>
      </c>
      <c r="D215" t="s">
        <v>8</v>
      </c>
      <c r="E215">
        <v>12</v>
      </c>
      <c r="F215" s="1">
        <v>35137.54</v>
      </c>
    </row>
    <row r="216" spans="1:6" x14ac:dyDescent="0.25">
      <c r="A216">
        <v>10396</v>
      </c>
      <c r="B216" t="s">
        <v>7</v>
      </c>
      <c r="C216" t="s">
        <v>139</v>
      </c>
      <c r="D216" t="s">
        <v>8</v>
      </c>
      <c r="E216">
        <v>8</v>
      </c>
      <c r="F216" s="1">
        <v>27695.54</v>
      </c>
    </row>
    <row r="217" spans="1:6" x14ac:dyDescent="0.25">
      <c r="A217">
        <v>10368</v>
      </c>
      <c r="B217" t="s">
        <v>7</v>
      </c>
      <c r="C217" t="s">
        <v>139</v>
      </c>
      <c r="D217" t="s">
        <v>8</v>
      </c>
      <c r="E217">
        <v>5</v>
      </c>
      <c r="F217" s="1">
        <v>13874.75</v>
      </c>
    </row>
    <row r="218" spans="1:6" x14ac:dyDescent="0.25">
      <c r="A218">
        <v>10113</v>
      </c>
      <c r="B218" t="s">
        <v>7</v>
      </c>
      <c r="C218" t="s">
        <v>139</v>
      </c>
      <c r="D218" t="s">
        <v>8</v>
      </c>
      <c r="E218">
        <v>4</v>
      </c>
      <c r="F218" s="1">
        <v>11044.3</v>
      </c>
    </row>
    <row r="219" spans="1:6" x14ac:dyDescent="0.25">
      <c r="A219">
        <v>10421</v>
      </c>
      <c r="B219" t="s">
        <v>7</v>
      </c>
      <c r="C219" t="s">
        <v>139</v>
      </c>
      <c r="D219" t="s">
        <v>8</v>
      </c>
      <c r="E219">
        <v>2</v>
      </c>
      <c r="F219" s="1">
        <v>7639.1</v>
      </c>
    </row>
    <row r="220" spans="1:6" x14ac:dyDescent="0.25">
      <c r="A220">
        <v>10335</v>
      </c>
      <c r="B220" t="s">
        <v>7</v>
      </c>
      <c r="C220" t="s">
        <v>139</v>
      </c>
      <c r="D220" t="s">
        <v>8</v>
      </c>
      <c r="E220">
        <v>3</v>
      </c>
      <c r="F220" s="1">
        <v>6466.44</v>
      </c>
    </row>
    <row r="221" spans="1:6" x14ac:dyDescent="0.25">
      <c r="A221">
        <v>10385</v>
      </c>
      <c r="B221" t="s">
        <v>7</v>
      </c>
      <c r="C221" t="s">
        <v>139</v>
      </c>
      <c r="D221" t="s">
        <v>8</v>
      </c>
      <c r="E221">
        <v>2</v>
      </c>
      <c r="F221" s="1">
        <v>4466.71</v>
      </c>
    </row>
    <row r="222" spans="1:6" x14ac:dyDescent="0.25">
      <c r="A222">
        <v>10333</v>
      </c>
      <c r="B222" t="s">
        <v>100</v>
      </c>
      <c r="C222" t="s">
        <v>217</v>
      </c>
      <c r="D222" t="s">
        <v>8</v>
      </c>
      <c r="E222">
        <v>8</v>
      </c>
      <c r="F222" s="1">
        <v>26248.78</v>
      </c>
    </row>
    <row r="223" spans="1:6" x14ac:dyDescent="0.25">
      <c r="A223">
        <v>10201</v>
      </c>
      <c r="B223" t="s">
        <v>100</v>
      </c>
      <c r="C223" t="s">
        <v>217</v>
      </c>
      <c r="D223" t="s">
        <v>8</v>
      </c>
      <c r="E223">
        <v>7</v>
      </c>
      <c r="F223" s="1">
        <v>23923.93</v>
      </c>
    </row>
    <row r="224" spans="1:6" x14ac:dyDescent="0.25">
      <c r="A224">
        <v>10111</v>
      </c>
      <c r="B224" t="s">
        <v>100</v>
      </c>
      <c r="C224" t="s">
        <v>217</v>
      </c>
      <c r="D224" t="s">
        <v>8</v>
      </c>
      <c r="E224">
        <v>6</v>
      </c>
      <c r="F224" s="1">
        <v>16537.849999999999</v>
      </c>
    </row>
    <row r="225" spans="1:6" x14ac:dyDescent="0.25">
      <c r="A225">
        <v>10331</v>
      </c>
      <c r="B225" t="s">
        <v>87</v>
      </c>
      <c r="C225" t="s">
        <v>175</v>
      </c>
      <c r="D225" t="s">
        <v>8</v>
      </c>
      <c r="E225">
        <v>14</v>
      </c>
      <c r="F225" s="1">
        <v>45994.07</v>
      </c>
    </row>
    <row r="226" spans="1:6" x14ac:dyDescent="0.25">
      <c r="A226">
        <v>10109</v>
      </c>
      <c r="B226" t="s">
        <v>87</v>
      </c>
      <c r="C226" t="s">
        <v>175</v>
      </c>
      <c r="D226" t="s">
        <v>8</v>
      </c>
      <c r="E226">
        <v>6</v>
      </c>
      <c r="F226" s="1">
        <v>25833.14</v>
      </c>
    </row>
    <row r="227" spans="1:6" x14ac:dyDescent="0.25">
      <c r="A227">
        <v>10236</v>
      </c>
      <c r="B227" t="s">
        <v>87</v>
      </c>
      <c r="C227" t="s">
        <v>175</v>
      </c>
      <c r="D227" t="s">
        <v>8</v>
      </c>
      <c r="E227">
        <v>3</v>
      </c>
      <c r="F227" s="1">
        <v>5899.38</v>
      </c>
    </row>
    <row r="228" spans="1:6" x14ac:dyDescent="0.25">
      <c r="A228">
        <v>10127</v>
      </c>
      <c r="B228" t="s">
        <v>11</v>
      </c>
      <c r="C228" t="s">
        <v>136</v>
      </c>
      <c r="D228" t="s">
        <v>8</v>
      </c>
      <c r="E228">
        <v>15</v>
      </c>
      <c r="F228" s="1">
        <v>58841.35</v>
      </c>
    </row>
    <row r="229" spans="1:6" x14ac:dyDescent="0.25">
      <c r="A229">
        <v>10204</v>
      </c>
      <c r="B229" t="s">
        <v>11</v>
      </c>
      <c r="C229" t="s">
        <v>136</v>
      </c>
      <c r="D229" t="s">
        <v>8</v>
      </c>
      <c r="E229">
        <v>17</v>
      </c>
      <c r="F229" s="1">
        <v>58793.53</v>
      </c>
    </row>
    <row r="230" spans="1:6" x14ac:dyDescent="0.25">
      <c r="A230">
        <v>10349</v>
      </c>
      <c r="B230" t="s">
        <v>11</v>
      </c>
      <c r="C230" t="s">
        <v>136</v>
      </c>
      <c r="D230" t="s">
        <v>8</v>
      </c>
      <c r="E230">
        <v>10</v>
      </c>
      <c r="F230" s="1">
        <v>39964.629999999997</v>
      </c>
    </row>
    <row r="231" spans="1:6" x14ac:dyDescent="0.25">
      <c r="A231">
        <v>10267</v>
      </c>
      <c r="B231" t="s">
        <v>11</v>
      </c>
      <c r="C231" t="s">
        <v>136</v>
      </c>
      <c r="D231" t="s">
        <v>8</v>
      </c>
      <c r="E231">
        <v>6</v>
      </c>
      <c r="F231" s="1">
        <v>20314.439999999999</v>
      </c>
    </row>
    <row r="232" spans="1:6" x14ac:dyDescent="0.25">
      <c r="A232">
        <v>10301</v>
      </c>
      <c r="B232" t="s">
        <v>51</v>
      </c>
      <c r="C232" t="s">
        <v>196</v>
      </c>
      <c r="D232" t="s">
        <v>48</v>
      </c>
      <c r="E232">
        <v>11</v>
      </c>
      <c r="F232" s="1">
        <v>36798.879999999997</v>
      </c>
    </row>
    <row r="233" spans="1:6" x14ac:dyDescent="0.25">
      <c r="A233">
        <v>10284</v>
      </c>
      <c r="B233" t="s">
        <v>51</v>
      </c>
      <c r="C233" t="s">
        <v>196</v>
      </c>
      <c r="D233" t="s">
        <v>48</v>
      </c>
      <c r="E233">
        <v>13</v>
      </c>
      <c r="F233" s="1">
        <v>32260.16</v>
      </c>
    </row>
    <row r="234" spans="1:6" x14ac:dyDescent="0.25">
      <c r="A234">
        <v>10192</v>
      </c>
      <c r="B234" t="s">
        <v>31</v>
      </c>
      <c r="C234" t="s">
        <v>140</v>
      </c>
      <c r="D234" t="s">
        <v>8</v>
      </c>
      <c r="E234">
        <v>16</v>
      </c>
      <c r="F234" s="1">
        <v>55425.77</v>
      </c>
    </row>
    <row r="235" spans="1:6" x14ac:dyDescent="0.25">
      <c r="A235">
        <v>10322</v>
      </c>
      <c r="B235" t="s">
        <v>31</v>
      </c>
      <c r="C235" t="s">
        <v>140</v>
      </c>
      <c r="D235" t="s">
        <v>8</v>
      </c>
      <c r="E235">
        <v>14</v>
      </c>
      <c r="F235" s="1">
        <v>50799.69</v>
      </c>
    </row>
    <row r="236" spans="1:6" x14ac:dyDescent="0.25">
      <c r="A236">
        <v>10100</v>
      </c>
      <c r="B236" t="s">
        <v>31</v>
      </c>
      <c r="C236" t="s">
        <v>140</v>
      </c>
      <c r="D236" t="s">
        <v>8</v>
      </c>
      <c r="E236">
        <v>4</v>
      </c>
      <c r="F236" s="1">
        <v>10223.83</v>
      </c>
    </row>
    <row r="237" spans="1:6" x14ac:dyDescent="0.25">
      <c r="A237">
        <v>10276</v>
      </c>
      <c r="B237" t="s">
        <v>95</v>
      </c>
      <c r="C237" t="s">
        <v>154</v>
      </c>
      <c r="D237" t="s">
        <v>8</v>
      </c>
      <c r="E237">
        <v>14</v>
      </c>
      <c r="F237" s="1">
        <v>51152.86</v>
      </c>
    </row>
    <row r="238" spans="1:6" x14ac:dyDescent="0.25">
      <c r="A238">
        <v>10294</v>
      </c>
      <c r="B238" t="s">
        <v>95</v>
      </c>
      <c r="C238" t="s">
        <v>154</v>
      </c>
      <c r="D238" t="s">
        <v>8</v>
      </c>
      <c r="E238">
        <v>1</v>
      </c>
      <c r="F238" s="1">
        <v>4424.3999999999996</v>
      </c>
    </row>
    <row r="239" spans="1:6" x14ac:dyDescent="0.25">
      <c r="A239">
        <v>10210</v>
      </c>
      <c r="B239" t="s">
        <v>127</v>
      </c>
      <c r="C239" t="s">
        <v>171</v>
      </c>
      <c r="D239" t="s">
        <v>55</v>
      </c>
      <c r="E239">
        <v>17</v>
      </c>
      <c r="F239" s="1">
        <v>47177.59</v>
      </c>
    </row>
    <row r="240" spans="1:6" x14ac:dyDescent="0.25">
      <c r="A240">
        <v>10240</v>
      </c>
      <c r="B240" t="s">
        <v>127</v>
      </c>
      <c r="C240" t="s">
        <v>171</v>
      </c>
      <c r="D240" t="s">
        <v>55</v>
      </c>
      <c r="E240">
        <v>3</v>
      </c>
      <c r="F240" s="1">
        <v>15183.63</v>
      </c>
    </row>
    <row r="241" spans="1:6" x14ac:dyDescent="0.25">
      <c r="A241">
        <v>10373</v>
      </c>
      <c r="B241" t="s">
        <v>60</v>
      </c>
      <c r="C241" t="s">
        <v>173</v>
      </c>
      <c r="D241" t="s">
        <v>44</v>
      </c>
      <c r="E241">
        <v>17</v>
      </c>
      <c r="F241" s="1">
        <v>46770.52</v>
      </c>
    </row>
    <row r="242" spans="1:6" x14ac:dyDescent="0.25">
      <c r="A242">
        <v>10151</v>
      </c>
      <c r="B242" t="s">
        <v>60</v>
      </c>
      <c r="C242" t="s">
        <v>173</v>
      </c>
      <c r="D242" t="s">
        <v>44</v>
      </c>
      <c r="E242">
        <v>10</v>
      </c>
      <c r="F242" s="1">
        <v>32723.040000000001</v>
      </c>
    </row>
    <row r="243" spans="1:6" x14ac:dyDescent="0.25">
      <c r="A243">
        <v>10239</v>
      </c>
      <c r="B243" t="s">
        <v>60</v>
      </c>
      <c r="C243" t="s">
        <v>173</v>
      </c>
      <c r="D243" t="s">
        <v>44</v>
      </c>
      <c r="E243">
        <v>5</v>
      </c>
      <c r="F243" s="1">
        <v>16212.59</v>
      </c>
    </row>
    <row r="244" spans="1:6" x14ac:dyDescent="0.25">
      <c r="A244">
        <v>10273</v>
      </c>
      <c r="B244" t="s">
        <v>79</v>
      </c>
      <c r="C244" t="s">
        <v>179</v>
      </c>
      <c r="D244" t="s">
        <v>80</v>
      </c>
      <c r="E244">
        <v>15</v>
      </c>
      <c r="F244" s="1">
        <v>45352.47</v>
      </c>
    </row>
    <row r="245" spans="1:6" x14ac:dyDescent="0.25">
      <c r="A245">
        <v>10221</v>
      </c>
      <c r="B245" t="s">
        <v>79</v>
      </c>
      <c r="C245" t="s">
        <v>179</v>
      </c>
      <c r="D245" t="s">
        <v>80</v>
      </c>
      <c r="E245">
        <v>5</v>
      </c>
      <c r="F245" s="1">
        <v>16901.38</v>
      </c>
    </row>
    <row r="246" spans="1:6" x14ac:dyDescent="0.25">
      <c r="A246">
        <v>10423</v>
      </c>
      <c r="B246" t="s">
        <v>79</v>
      </c>
      <c r="C246" t="s">
        <v>179</v>
      </c>
      <c r="D246" t="s">
        <v>80</v>
      </c>
      <c r="E246">
        <v>5</v>
      </c>
      <c r="F246" s="1">
        <v>8597.73</v>
      </c>
    </row>
    <row r="247" spans="1:6" x14ac:dyDescent="0.25">
      <c r="A247">
        <v>10411</v>
      </c>
      <c r="B247" t="s">
        <v>115</v>
      </c>
      <c r="C247" t="s">
        <v>211</v>
      </c>
      <c r="D247" t="s">
        <v>62</v>
      </c>
      <c r="E247">
        <v>9</v>
      </c>
      <c r="F247" s="1">
        <v>29070.38</v>
      </c>
    </row>
    <row r="248" spans="1:6" x14ac:dyDescent="0.25">
      <c r="A248">
        <v>10261</v>
      </c>
      <c r="B248" t="s">
        <v>115</v>
      </c>
      <c r="C248" t="s">
        <v>211</v>
      </c>
      <c r="D248" t="s">
        <v>62</v>
      </c>
      <c r="E248">
        <v>9</v>
      </c>
      <c r="F248" s="1">
        <v>22997.45</v>
      </c>
    </row>
    <row r="249" spans="1:6" x14ac:dyDescent="0.25">
      <c r="A249">
        <v>10171</v>
      </c>
      <c r="B249" t="s">
        <v>115</v>
      </c>
      <c r="C249" t="s">
        <v>211</v>
      </c>
      <c r="D249" t="s">
        <v>62</v>
      </c>
      <c r="E249">
        <v>4</v>
      </c>
      <c r="F249" s="1">
        <v>16909.84</v>
      </c>
    </row>
    <row r="250" spans="1:6" x14ac:dyDescent="0.25">
      <c r="A250">
        <v>10398</v>
      </c>
      <c r="B250" t="s">
        <v>77</v>
      </c>
      <c r="C250" t="s">
        <v>174</v>
      </c>
      <c r="D250" t="s">
        <v>15</v>
      </c>
      <c r="E250">
        <v>18</v>
      </c>
      <c r="F250" s="1">
        <v>46656.94</v>
      </c>
    </row>
    <row r="251" spans="1:6" x14ac:dyDescent="0.25">
      <c r="A251">
        <v>10359</v>
      </c>
      <c r="B251" t="s">
        <v>77</v>
      </c>
      <c r="C251" t="s">
        <v>174</v>
      </c>
      <c r="D251" t="s">
        <v>15</v>
      </c>
      <c r="E251">
        <v>8</v>
      </c>
      <c r="F251" s="1">
        <v>32600.61</v>
      </c>
    </row>
    <row r="252" spans="1:6" x14ac:dyDescent="0.25">
      <c r="A252">
        <v>10343</v>
      </c>
      <c r="B252" t="s">
        <v>77</v>
      </c>
      <c r="C252" t="s">
        <v>174</v>
      </c>
      <c r="D252" t="s">
        <v>15</v>
      </c>
      <c r="E252">
        <v>6</v>
      </c>
      <c r="F252" s="1">
        <v>17104.91</v>
      </c>
    </row>
    <row r="253" spans="1:6" x14ac:dyDescent="0.25">
      <c r="A253">
        <v>10121</v>
      </c>
      <c r="B253" t="s">
        <v>77</v>
      </c>
      <c r="C253" t="s">
        <v>174</v>
      </c>
      <c r="D253" t="s">
        <v>15</v>
      </c>
      <c r="E253">
        <v>5</v>
      </c>
      <c r="F253" s="1">
        <v>16700.47</v>
      </c>
    </row>
    <row r="254" spans="1:6" x14ac:dyDescent="0.25">
      <c r="A254">
        <v>10137</v>
      </c>
      <c r="B254" t="s">
        <v>77</v>
      </c>
      <c r="C254" t="s">
        <v>174</v>
      </c>
      <c r="D254" t="s">
        <v>15</v>
      </c>
      <c r="E254">
        <v>4</v>
      </c>
      <c r="F254" s="1">
        <v>13920.26</v>
      </c>
    </row>
    <row r="255" spans="1:6" x14ac:dyDescent="0.25">
      <c r="A255">
        <v>10106</v>
      </c>
      <c r="B255" t="s">
        <v>24</v>
      </c>
      <c r="C255" t="s">
        <v>151</v>
      </c>
      <c r="D255" t="s">
        <v>19</v>
      </c>
      <c r="E255">
        <v>18</v>
      </c>
      <c r="F255" s="1">
        <v>52151.81</v>
      </c>
    </row>
    <row r="256" spans="1:6" x14ac:dyDescent="0.25">
      <c r="A256">
        <v>10173</v>
      </c>
      <c r="B256" t="s">
        <v>24</v>
      </c>
      <c r="C256" t="s">
        <v>151</v>
      </c>
      <c r="D256" t="s">
        <v>19</v>
      </c>
      <c r="E256">
        <v>16</v>
      </c>
      <c r="F256" s="1">
        <v>37723.79</v>
      </c>
    </row>
    <row r="257" spans="1:6" x14ac:dyDescent="0.25">
      <c r="A257">
        <v>10328</v>
      </c>
      <c r="B257" t="s">
        <v>24</v>
      </c>
      <c r="C257" t="s">
        <v>151</v>
      </c>
      <c r="D257" t="s">
        <v>19</v>
      </c>
      <c r="E257">
        <v>14</v>
      </c>
      <c r="F257" s="1">
        <v>37654.089999999997</v>
      </c>
    </row>
    <row r="258" spans="1:6" x14ac:dyDescent="0.25">
      <c r="A258">
        <v>10283</v>
      </c>
      <c r="B258" t="s">
        <v>63</v>
      </c>
      <c r="C258" t="s">
        <v>194</v>
      </c>
      <c r="D258" t="s">
        <v>62</v>
      </c>
      <c r="E258">
        <v>14</v>
      </c>
      <c r="F258" s="1">
        <v>37527.58</v>
      </c>
    </row>
    <row r="259" spans="1:6" x14ac:dyDescent="0.25">
      <c r="A259">
        <v>10235</v>
      </c>
      <c r="B259" t="s">
        <v>63</v>
      </c>
      <c r="C259" t="s">
        <v>194</v>
      </c>
      <c r="D259" t="s">
        <v>62</v>
      </c>
      <c r="E259">
        <v>12</v>
      </c>
      <c r="F259" s="1">
        <v>29284.42</v>
      </c>
    </row>
    <row r="260" spans="1:6" x14ac:dyDescent="0.25">
      <c r="A260">
        <v>10366</v>
      </c>
      <c r="B260" t="s">
        <v>123</v>
      </c>
      <c r="C260" t="s">
        <v>226</v>
      </c>
      <c r="D260" t="s">
        <v>80</v>
      </c>
      <c r="E260">
        <v>3</v>
      </c>
      <c r="F260" s="1">
        <v>14379.9</v>
      </c>
    </row>
    <row r="261" spans="1:6" x14ac:dyDescent="0.25">
      <c r="A261">
        <v>10338</v>
      </c>
      <c r="B261" t="s">
        <v>123</v>
      </c>
      <c r="C261" t="s">
        <v>226</v>
      </c>
      <c r="D261" t="s">
        <v>80</v>
      </c>
      <c r="E261">
        <v>3</v>
      </c>
      <c r="F261" s="1">
        <v>12081.52</v>
      </c>
    </row>
    <row r="262" spans="1:6" x14ac:dyDescent="0.25">
      <c r="A262">
        <v>10116</v>
      </c>
      <c r="B262" t="s">
        <v>123</v>
      </c>
      <c r="C262" t="s">
        <v>226</v>
      </c>
      <c r="D262" t="s">
        <v>80</v>
      </c>
      <c r="E262">
        <v>1</v>
      </c>
      <c r="F262" s="1">
        <v>1627.56</v>
      </c>
    </row>
    <row r="263" spans="1:6" x14ac:dyDescent="0.25">
      <c r="A263">
        <v>10144</v>
      </c>
      <c r="B263" t="s">
        <v>123</v>
      </c>
      <c r="C263" t="s">
        <v>226</v>
      </c>
      <c r="D263" t="s">
        <v>80</v>
      </c>
      <c r="E263">
        <v>1</v>
      </c>
      <c r="F263" s="1">
        <v>1128.2</v>
      </c>
    </row>
    <row r="264" spans="1:6" x14ac:dyDescent="0.25">
      <c r="A264">
        <v>10419</v>
      </c>
      <c r="B264" t="s">
        <v>90</v>
      </c>
      <c r="C264" t="s">
        <v>148</v>
      </c>
      <c r="D264" t="s">
        <v>91</v>
      </c>
      <c r="E264">
        <v>14</v>
      </c>
      <c r="F264" s="1">
        <v>52420.07</v>
      </c>
    </row>
    <row r="265" spans="1:6" x14ac:dyDescent="0.25">
      <c r="A265">
        <v>10341</v>
      </c>
      <c r="B265" t="s">
        <v>90</v>
      </c>
      <c r="C265" t="s">
        <v>148</v>
      </c>
      <c r="D265" t="s">
        <v>91</v>
      </c>
      <c r="E265">
        <v>10</v>
      </c>
      <c r="F265" s="1">
        <v>42813.83</v>
      </c>
    </row>
    <row r="266" spans="1:6" x14ac:dyDescent="0.25">
      <c r="A266">
        <v>10119</v>
      </c>
      <c r="B266" t="s">
        <v>90</v>
      </c>
      <c r="C266" t="s">
        <v>148</v>
      </c>
      <c r="D266" t="s">
        <v>91</v>
      </c>
      <c r="E266">
        <v>14</v>
      </c>
      <c r="F266" s="1">
        <v>35826.33</v>
      </c>
    </row>
    <row r="267" spans="1:6" x14ac:dyDescent="0.25">
      <c r="A267">
        <v>10269</v>
      </c>
      <c r="B267" t="s">
        <v>90</v>
      </c>
      <c r="C267" t="s">
        <v>148</v>
      </c>
      <c r="D267" t="s">
        <v>91</v>
      </c>
      <c r="E267">
        <v>2</v>
      </c>
      <c r="F267" s="1">
        <v>6419.84</v>
      </c>
    </row>
    <row r="268" spans="1:6" x14ac:dyDescent="0.25">
      <c r="A268">
        <v>10208</v>
      </c>
      <c r="B268" t="s">
        <v>14</v>
      </c>
      <c r="C268" t="s">
        <v>162</v>
      </c>
      <c r="D268" t="s">
        <v>15</v>
      </c>
      <c r="E268">
        <v>15</v>
      </c>
      <c r="F268" s="1">
        <v>49614.720000000001</v>
      </c>
    </row>
    <row r="269" spans="1:6" x14ac:dyDescent="0.25">
      <c r="A269">
        <v>10227</v>
      </c>
      <c r="B269" t="s">
        <v>14</v>
      </c>
      <c r="C269" t="s">
        <v>162</v>
      </c>
      <c r="D269" t="s">
        <v>15</v>
      </c>
      <c r="E269">
        <v>15</v>
      </c>
      <c r="F269" s="1">
        <v>40978.53</v>
      </c>
    </row>
    <row r="270" spans="1:6" x14ac:dyDescent="0.25">
      <c r="A270">
        <v>10194</v>
      </c>
      <c r="B270" t="s">
        <v>14</v>
      </c>
      <c r="C270" t="s">
        <v>162</v>
      </c>
      <c r="D270" t="s">
        <v>15</v>
      </c>
      <c r="E270">
        <v>11</v>
      </c>
      <c r="F270" s="1">
        <v>39712.1</v>
      </c>
    </row>
    <row r="271" spans="1:6" x14ac:dyDescent="0.25">
      <c r="A271">
        <v>10291</v>
      </c>
      <c r="B271" t="s">
        <v>28</v>
      </c>
      <c r="C271" t="s">
        <v>166</v>
      </c>
      <c r="D271" t="s">
        <v>29</v>
      </c>
      <c r="E271">
        <v>14</v>
      </c>
      <c r="F271" s="1">
        <v>48809.9</v>
      </c>
    </row>
    <row r="272" spans="1:6" x14ac:dyDescent="0.25">
      <c r="A272">
        <v>10167</v>
      </c>
      <c r="B272" t="s">
        <v>28</v>
      </c>
      <c r="C272" t="s">
        <v>166</v>
      </c>
      <c r="D272" t="s">
        <v>29</v>
      </c>
      <c r="E272">
        <v>16</v>
      </c>
      <c r="F272" s="1">
        <v>44167.09</v>
      </c>
    </row>
    <row r="273" spans="1:6" x14ac:dyDescent="0.25">
      <c r="A273">
        <v>10389</v>
      </c>
      <c r="B273" t="s">
        <v>28</v>
      </c>
      <c r="C273" t="s">
        <v>166</v>
      </c>
      <c r="D273" t="s">
        <v>29</v>
      </c>
      <c r="E273">
        <v>8</v>
      </c>
      <c r="F273" s="1">
        <v>27966.54</v>
      </c>
    </row>
    <row r="274" spans="1:6" x14ac:dyDescent="0.25">
      <c r="A274">
        <v>10149</v>
      </c>
      <c r="B274" t="s">
        <v>103</v>
      </c>
      <c r="C274" t="s">
        <v>210</v>
      </c>
      <c r="D274" t="s">
        <v>8</v>
      </c>
      <c r="E274">
        <v>11</v>
      </c>
      <c r="F274" s="1">
        <v>29997.09</v>
      </c>
    </row>
    <row r="275" spans="1:6" x14ac:dyDescent="0.25">
      <c r="A275">
        <v>10219</v>
      </c>
      <c r="B275" t="s">
        <v>103</v>
      </c>
      <c r="C275" t="s">
        <v>210</v>
      </c>
      <c r="D275" t="s">
        <v>8</v>
      </c>
      <c r="E275">
        <v>4</v>
      </c>
      <c r="F275" s="1">
        <v>12573.28</v>
      </c>
    </row>
    <row r="276" spans="1:6" x14ac:dyDescent="0.25">
      <c r="A276">
        <v>10278</v>
      </c>
      <c r="B276" t="s">
        <v>89</v>
      </c>
      <c r="C276" t="s">
        <v>205</v>
      </c>
      <c r="D276" t="s">
        <v>8</v>
      </c>
      <c r="E276">
        <v>10</v>
      </c>
      <c r="F276" s="1">
        <v>33347.879999999997</v>
      </c>
    </row>
    <row r="277" spans="1:6" x14ac:dyDescent="0.25">
      <c r="A277">
        <v>10124</v>
      </c>
      <c r="B277" t="s">
        <v>89</v>
      </c>
      <c r="C277" t="s">
        <v>205</v>
      </c>
      <c r="D277" t="s">
        <v>8</v>
      </c>
      <c r="E277">
        <v>13</v>
      </c>
      <c r="F277" s="1">
        <v>32641.98</v>
      </c>
    </row>
    <row r="278" spans="1:6" x14ac:dyDescent="0.25">
      <c r="A278">
        <v>10346</v>
      </c>
      <c r="B278" t="s">
        <v>89</v>
      </c>
      <c r="C278" t="s">
        <v>205</v>
      </c>
      <c r="D278" t="s">
        <v>8</v>
      </c>
      <c r="E278">
        <v>6</v>
      </c>
      <c r="F278" s="1">
        <v>14191.12</v>
      </c>
    </row>
    <row r="279" spans="1:6" x14ac:dyDescent="0.25">
      <c r="A279">
        <v>10420</v>
      </c>
      <c r="B279" t="s">
        <v>57</v>
      </c>
      <c r="C279" t="s">
        <v>185</v>
      </c>
      <c r="D279" t="s">
        <v>27</v>
      </c>
      <c r="E279">
        <v>13</v>
      </c>
      <c r="F279" s="1">
        <v>42251.51</v>
      </c>
    </row>
    <row r="280" spans="1:6" x14ac:dyDescent="0.25">
      <c r="A280">
        <v>10270</v>
      </c>
      <c r="B280" t="s">
        <v>57</v>
      </c>
      <c r="C280" t="s">
        <v>185</v>
      </c>
      <c r="D280" t="s">
        <v>27</v>
      </c>
      <c r="E280">
        <v>11</v>
      </c>
      <c r="F280" s="1">
        <v>35806.730000000003</v>
      </c>
    </row>
    <row r="281" spans="1:6" x14ac:dyDescent="0.25">
      <c r="A281">
        <v>10361</v>
      </c>
      <c r="B281" t="s">
        <v>57</v>
      </c>
      <c r="C281" t="s">
        <v>185</v>
      </c>
      <c r="D281" t="s">
        <v>27</v>
      </c>
      <c r="E281">
        <v>14</v>
      </c>
      <c r="F281" s="1">
        <v>31835.360000000001</v>
      </c>
    </row>
    <row r="282" spans="1:6" x14ac:dyDescent="0.25">
      <c r="A282">
        <v>10139</v>
      </c>
      <c r="B282" t="s">
        <v>57</v>
      </c>
      <c r="C282" t="s">
        <v>185</v>
      </c>
      <c r="D282" t="s">
        <v>27</v>
      </c>
      <c r="E282">
        <v>8</v>
      </c>
      <c r="F282" s="1">
        <v>24013.52</v>
      </c>
    </row>
    <row r="283" spans="1:6" x14ac:dyDescent="0.25">
      <c r="A283">
        <v>10175</v>
      </c>
      <c r="B283" t="s">
        <v>85</v>
      </c>
      <c r="C283" t="s">
        <v>195</v>
      </c>
      <c r="D283" t="s">
        <v>13</v>
      </c>
      <c r="E283">
        <v>12</v>
      </c>
      <c r="F283" s="1">
        <v>37455.769999999997</v>
      </c>
    </row>
    <row r="284" spans="1:6" x14ac:dyDescent="0.25">
      <c r="A284">
        <v>10129</v>
      </c>
      <c r="B284" t="s">
        <v>85</v>
      </c>
      <c r="C284" t="s">
        <v>195</v>
      </c>
      <c r="D284" t="s">
        <v>13</v>
      </c>
      <c r="E284">
        <v>9</v>
      </c>
      <c r="F284" s="1">
        <v>29429.14</v>
      </c>
    </row>
    <row r="285" spans="1:6" x14ac:dyDescent="0.25">
      <c r="A285">
        <v>10351</v>
      </c>
      <c r="B285" t="s">
        <v>85</v>
      </c>
      <c r="C285" t="s">
        <v>195</v>
      </c>
      <c r="D285" t="s">
        <v>13</v>
      </c>
      <c r="E285">
        <v>5</v>
      </c>
      <c r="F285" s="1">
        <v>13671.82</v>
      </c>
    </row>
    <row r="286" spans="1:6" x14ac:dyDescent="0.25">
      <c r="A286">
        <v>10363</v>
      </c>
      <c r="B286" t="s">
        <v>43</v>
      </c>
      <c r="C286" t="s">
        <v>177</v>
      </c>
      <c r="D286" t="s">
        <v>44</v>
      </c>
      <c r="E286">
        <v>15</v>
      </c>
      <c r="F286" s="1">
        <v>45785.34</v>
      </c>
    </row>
    <row r="287" spans="1:6" x14ac:dyDescent="0.25">
      <c r="A287">
        <v>10141</v>
      </c>
      <c r="B287" t="s">
        <v>43</v>
      </c>
      <c r="C287" t="s">
        <v>177</v>
      </c>
      <c r="D287" t="s">
        <v>44</v>
      </c>
      <c r="E287">
        <v>9</v>
      </c>
      <c r="F287" s="1">
        <v>29716.86</v>
      </c>
    </row>
    <row r="288" spans="1:6" x14ac:dyDescent="0.25">
      <c r="A288">
        <v>10247</v>
      </c>
      <c r="B288" t="s">
        <v>43</v>
      </c>
      <c r="C288" t="s">
        <v>177</v>
      </c>
      <c r="D288" t="s">
        <v>44</v>
      </c>
      <c r="E288">
        <v>6</v>
      </c>
      <c r="F288" s="1">
        <v>28394.54</v>
      </c>
    </row>
    <row r="289" spans="1:6" x14ac:dyDescent="0.25">
      <c r="A289">
        <v>10196</v>
      </c>
      <c r="B289" t="s">
        <v>50</v>
      </c>
      <c r="C289" t="s">
        <v>191</v>
      </c>
      <c r="D289" t="s">
        <v>8</v>
      </c>
      <c r="E289">
        <v>8</v>
      </c>
      <c r="F289" s="1">
        <v>38139.18</v>
      </c>
    </row>
    <row r="290" spans="1:6" x14ac:dyDescent="0.25">
      <c r="A290">
        <v>10245</v>
      </c>
      <c r="B290" t="s">
        <v>50</v>
      </c>
      <c r="C290" t="s">
        <v>191</v>
      </c>
      <c r="D290" t="s">
        <v>8</v>
      </c>
      <c r="E290">
        <v>9</v>
      </c>
      <c r="F290" s="1">
        <v>32239.47</v>
      </c>
    </row>
    <row r="291" spans="1:6" x14ac:dyDescent="0.25">
      <c r="A291">
        <v>10168</v>
      </c>
      <c r="B291" t="s">
        <v>68</v>
      </c>
      <c r="C291" t="s">
        <v>158</v>
      </c>
      <c r="D291" t="s">
        <v>8</v>
      </c>
      <c r="E291">
        <v>18</v>
      </c>
      <c r="F291" s="1">
        <v>50743.65</v>
      </c>
    </row>
    <row r="292" spans="1:6" x14ac:dyDescent="0.25">
      <c r="A292">
        <v>10140</v>
      </c>
      <c r="B292" t="s">
        <v>68</v>
      </c>
      <c r="C292" t="s">
        <v>158</v>
      </c>
      <c r="D292" t="s">
        <v>8</v>
      </c>
      <c r="E292">
        <v>11</v>
      </c>
      <c r="F292" s="1">
        <v>38675.129999999997</v>
      </c>
    </row>
    <row r="293" spans="1:6" x14ac:dyDescent="0.25">
      <c r="A293">
        <v>10362</v>
      </c>
      <c r="B293" t="s">
        <v>68</v>
      </c>
      <c r="C293" t="s">
        <v>158</v>
      </c>
      <c r="D293" t="s">
        <v>8</v>
      </c>
      <c r="E293">
        <v>4</v>
      </c>
      <c r="F293" s="1">
        <v>12692.19</v>
      </c>
    </row>
    <row r="294" spans="1:6" x14ac:dyDescent="0.25">
      <c r="A294">
        <v>10317</v>
      </c>
      <c r="B294" t="s">
        <v>68</v>
      </c>
      <c r="C294" t="s">
        <v>158</v>
      </c>
      <c r="D294" t="s">
        <v>8</v>
      </c>
      <c r="E294">
        <v>1</v>
      </c>
      <c r="F294" s="1">
        <v>2434.25</v>
      </c>
    </row>
    <row r="295" spans="1:6" x14ac:dyDescent="0.25">
      <c r="A295">
        <v>10401</v>
      </c>
      <c r="B295" t="s">
        <v>119</v>
      </c>
      <c r="C295" t="s">
        <v>182</v>
      </c>
      <c r="D295" t="s">
        <v>8</v>
      </c>
      <c r="E295">
        <v>12</v>
      </c>
      <c r="F295" s="1">
        <v>43525.04</v>
      </c>
    </row>
    <row r="296" spans="1:6" x14ac:dyDescent="0.25">
      <c r="A296">
        <v>10251</v>
      </c>
      <c r="B296" t="s">
        <v>119</v>
      </c>
      <c r="C296" t="s">
        <v>182</v>
      </c>
      <c r="D296" t="s">
        <v>8</v>
      </c>
      <c r="E296">
        <v>6</v>
      </c>
      <c r="F296" s="1">
        <v>31102.85</v>
      </c>
    </row>
    <row r="297" spans="1:6" x14ac:dyDescent="0.25">
      <c r="A297">
        <v>10233</v>
      </c>
      <c r="B297" t="s">
        <v>119</v>
      </c>
      <c r="C297" t="s">
        <v>182</v>
      </c>
      <c r="D297" t="s">
        <v>8</v>
      </c>
      <c r="E297">
        <v>3</v>
      </c>
      <c r="F297" s="1">
        <v>7178.66</v>
      </c>
    </row>
    <row r="298" spans="1:6" x14ac:dyDescent="0.25">
      <c r="A298">
        <v>10407</v>
      </c>
      <c r="B298" t="s">
        <v>83</v>
      </c>
      <c r="C298" t="s">
        <v>149</v>
      </c>
      <c r="D298" t="s">
        <v>8</v>
      </c>
      <c r="E298">
        <v>12</v>
      </c>
      <c r="F298" s="1">
        <v>52229.55</v>
      </c>
    </row>
    <row r="299" spans="1:6" x14ac:dyDescent="0.25">
      <c r="A299">
        <v>10250</v>
      </c>
      <c r="B299" t="s">
        <v>83</v>
      </c>
      <c r="C299" t="s">
        <v>149</v>
      </c>
      <c r="D299" t="s">
        <v>8</v>
      </c>
      <c r="E299">
        <v>14</v>
      </c>
      <c r="F299" s="1">
        <v>42798.080000000002</v>
      </c>
    </row>
    <row r="300" spans="1:6" x14ac:dyDescent="0.25">
      <c r="A300">
        <v>10400</v>
      </c>
      <c r="B300" t="s">
        <v>83</v>
      </c>
      <c r="C300" t="s">
        <v>149</v>
      </c>
      <c r="D300" t="s">
        <v>8</v>
      </c>
      <c r="E300">
        <v>9</v>
      </c>
      <c r="F300" s="1">
        <v>31755.34</v>
      </c>
    </row>
    <row r="301" spans="1:6" x14ac:dyDescent="0.25">
      <c r="A301">
        <v>10257</v>
      </c>
      <c r="B301" t="s">
        <v>83</v>
      </c>
      <c r="C301" t="s">
        <v>149</v>
      </c>
      <c r="D301" t="s">
        <v>8</v>
      </c>
      <c r="E301">
        <v>5</v>
      </c>
      <c r="F301" s="1">
        <v>16753.3</v>
      </c>
    </row>
    <row r="302" spans="1:6" x14ac:dyDescent="0.25">
      <c r="A302">
        <v>10339</v>
      </c>
      <c r="B302" t="s">
        <v>54</v>
      </c>
      <c r="C302" t="s">
        <v>165</v>
      </c>
      <c r="D302" t="s">
        <v>55</v>
      </c>
      <c r="E302">
        <v>16</v>
      </c>
      <c r="F302" s="1">
        <v>48927.64</v>
      </c>
    </row>
    <row r="303" spans="1:6" x14ac:dyDescent="0.25">
      <c r="A303">
        <v>10372</v>
      </c>
      <c r="B303" t="s">
        <v>54</v>
      </c>
      <c r="C303" t="s">
        <v>165</v>
      </c>
      <c r="D303" t="s">
        <v>55</v>
      </c>
      <c r="E303">
        <v>9</v>
      </c>
      <c r="F303" s="1">
        <v>33967.730000000003</v>
      </c>
    </row>
    <row r="304" spans="1:6" x14ac:dyDescent="0.25">
      <c r="A304">
        <v>10258</v>
      </c>
      <c r="B304" t="s">
        <v>54</v>
      </c>
      <c r="C304" t="s">
        <v>165</v>
      </c>
      <c r="D304" t="s">
        <v>55</v>
      </c>
      <c r="E304">
        <v>6</v>
      </c>
      <c r="F304" s="1">
        <v>22037.91</v>
      </c>
    </row>
    <row r="305" spans="1:6" x14ac:dyDescent="0.25">
      <c r="A305">
        <v>10408</v>
      </c>
      <c r="B305" t="s">
        <v>54</v>
      </c>
      <c r="C305" t="s">
        <v>165</v>
      </c>
      <c r="D305" t="s">
        <v>55</v>
      </c>
      <c r="E305">
        <v>1</v>
      </c>
      <c r="F305" s="1">
        <v>615.45000000000005</v>
      </c>
    </row>
    <row r="306" spans="1:6" x14ac:dyDescent="0.25">
      <c r="A306">
        <v>10310</v>
      </c>
      <c r="B306" t="s">
        <v>22</v>
      </c>
      <c r="C306" t="s">
        <v>133</v>
      </c>
      <c r="D306" t="s">
        <v>23</v>
      </c>
      <c r="E306">
        <v>17</v>
      </c>
      <c r="F306" s="1">
        <v>61234.67</v>
      </c>
    </row>
    <row r="307" spans="1:6" x14ac:dyDescent="0.25">
      <c r="A307">
        <v>10191</v>
      </c>
      <c r="B307" t="s">
        <v>22</v>
      </c>
      <c r="C307" t="s">
        <v>133</v>
      </c>
      <c r="D307" t="s">
        <v>23</v>
      </c>
      <c r="E307">
        <v>9</v>
      </c>
      <c r="F307" s="1">
        <v>27988.47</v>
      </c>
    </row>
    <row r="308" spans="1:6" x14ac:dyDescent="0.25">
      <c r="A308">
        <v>10155</v>
      </c>
      <c r="B308" t="s">
        <v>49</v>
      </c>
      <c r="C308" t="s">
        <v>193</v>
      </c>
      <c r="D308" t="s">
        <v>44</v>
      </c>
      <c r="E308">
        <v>13</v>
      </c>
      <c r="F308" s="1">
        <v>37602.480000000003</v>
      </c>
    </row>
    <row r="309" spans="1:6" x14ac:dyDescent="0.25">
      <c r="A309">
        <v>10299</v>
      </c>
      <c r="B309" t="s">
        <v>49</v>
      </c>
      <c r="C309" t="s">
        <v>193</v>
      </c>
      <c r="D309" t="s">
        <v>44</v>
      </c>
      <c r="E309">
        <v>11</v>
      </c>
      <c r="F309" s="1">
        <v>34341.08</v>
      </c>
    </row>
    <row r="310" spans="1:6" x14ac:dyDescent="0.25">
      <c r="A310">
        <v>10377</v>
      </c>
      <c r="B310" t="s">
        <v>49</v>
      </c>
      <c r="C310" t="s">
        <v>193</v>
      </c>
      <c r="D310" t="s">
        <v>44</v>
      </c>
      <c r="E310">
        <v>6</v>
      </c>
      <c r="F310" s="1">
        <v>23602.9</v>
      </c>
    </row>
    <row r="311" spans="1:6" x14ac:dyDescent="0.25">
      <c r="A311">
        <v>10145</v>
      </c>
      <c r="B311" t="s">
        <v>59</v>
      </c>
      <c r="C311" t="s">
        <v>159</v>
      </c>
      <c r="D311" t="s">
        <v>8</v>
      </c>
      <c r="E311">
        <v>16</v>
      </c>
      <c r="F311" s="1">
        <v>50342.74</v>
      </c>
    </row>
    <row r="312" spans="1:6" x14ac:dyDescent="0.25">
      <c r="A312">
        <v>10367</v>
      </c>
      <c r="B312" t="s">
        <v>59</v>
      </c>
      <c r="C312" t="s">
        <v>159</v>
      </c>
      <c r="D312" t="s">
        <v>8</v>
      </c>
      <c r="E312">
        <v>13</v>
      </c>
      <c r="F312" s="1">
        <v>39580.6</v>
      </c>
    </row>
    <row r="313" spans="1:6" x14ac:dyDescent="0.25">
      <c r="A313">
        <v>10189</v>
      </c>
      <c r="B313" t="s">
        <v>59</v>
      </c>
      <c r="C313" t="s">
        <v>159</v>
      </c>
      <c r="D313" t="s">
        <v>8</v>
      </c>
      <c r="E313">
        <v>1</v>
      </c>
      <c r="F313" s="1">
        <v>3879.96</v>
      </c>
    </row>
    <row r="314" spans="1:6" x14ac:dyDescent="0.25">
      <c r="A314">
        <v>10253</v>
      </c>
      <c r="B314" t="s">
        <v>58</v>
      </c>
      <c r="C314" t="s">
        <v>178</v>
      </c>
      <c r="D314" t="s">
        <v>13</v>
      </c>
      <c r="E314">
        <v>14</v>
      </c>
      <c r="F314" s="1">
        <v>45443.54</v>
      </c>
    </row>
    <row r="315" spans="1:6" x14ac:dyDescent="0.25">
      <c r="A315">
        <v>10403</v>
      </c>
      <c r="B315" t="s">
        <v>58</v>
      </c>
      <c r="C315" t="s">
        <v>178</v>
      </c>
      <c r="D315" t="s">
        <v>13</v>
      </c>
      <c r="E315">
        <v>9</v>
      </c>
      <c r="F315" s="1">
        <v>37258.94</v>
      </c>
    </row>
    <row r="316" spans="1:6" x14ac:dyDescent="0.25">
      <c r="A316">
        <v>10302</v>
      </c>
      <c r="B316" t="s">
        <v>58</v>
      </c>
      <c r="C316" t="s">
        <v>178</v>
      </c>
      <c r="D316" t="s">
        <v>13</v>
      </c>
      <c r="E316">
        <v>6</v>
      </c>
      <c r="F316" s="1">
        <v>23908.240000000002</v>
      </c>
    </row>
    <row r="317" spans="1:6" x14ac:dyDescent="0.25">
      <c r="A317">
        <v>10287</v>
      </c>
      <c r="B317" t="s">
        <v>9</v>
      </c>
      <c r="C317" t="s">
        <v>132</v>
      </c>
      <c r="D317" t="s">
        <v>10</v>
      </c>
      <c r="E317">
        <v>17</v>
      </c>
      <c r="F317" s="1">
        <v>61402</v>
      </c>
    </row>
    <row r="318" spans="1:6" x14ac:dyDescent="0.25">
      <c r="A318">
        <v>10225</v>
      </c>
      <c r="B318" t="s">
        <v>9</v>
      </c>
      <c r="C318" t="s">
        <v>132</v>
      </c>
      <c r="D318" t="s">
        <v>10</v>
      </c>
      <c r="E318">
        <v>14</v>
      </c>
      <c r="F318" s="1">
        <v>47375.92</v>
      </c>
    </row>
    <row r="319" spans="1:6" x14ac:dyDescent="0.25">
      <c r="A319">
        <v>10324</v>
      </c>
      <c r="B319" t="s">
        <v>86</v>
      </c>
      <c r="C319" t="s">
        <v>180</v>
      </c>
      <c r="D319" t="s">
        <v>8</v>
      </c>
      <c r="E319">
        <v>14</v>
      </c>
      <c r="F319" s="1">
        <v>44400.5</v>
      </c>
    </row>
    <row r="320" spans="1:6" x14ac:dyDescent="0.25">
      <c r="A320">
        <v>10237</v>
      </c>
      <c r="B320" t="s">
        <v>86</v>
      </c>
      <c r="C320" t="s">
        <v>180</v>
      </c>
      <c r="D320" t="s">
        <v>8</v>
      </c>
      <c r="E320">
        <v>9</v>
      </c>
      <c r="F320" s="1">
        <v>22602.36</v>
      </c>
    </row>
    <row r="321" spans="1:6" x14ac:dyDescent="0.25">
      <c r="A321">
        <v>10102</v>
      </c>
      <c r="B321" t="s">
        <v>86</v>
      </c>
      <c r="C321" t="s">
        <v>180</v>
      </c>
      <c r="D321" t="s">
        <v>8</v>
      </c>
      <c r="E321">
        <v>2</v>
      </c>
      <c r="F321" s="1">
        <v>5494.78</v>
      </c>
    </row>
    <row r="322" spans="1:6" x14ac:dyDescent="0.25">
      <c r="A322">
        <v>10334</v>
      </c>
      <c r="B322" t="s">
        <v>112</v>
      </c>
      <c r="C322" t="s">
        <v>220</v>
      </c>
      <c r="D322" t="s">
        <v>29</v>
      </c>
      <c r="E322">
        <v>6</v>
      </c>
      <c r="F322" s="1">
        <v>23014.17</v>
      </c>
    </row>
    <row r="323" spans="1:6" x14ac:dyDescent="0.25">
      <c r="A323">
        <v>10326</v>
      </c>
      <c r="B323" t="s">
        <v>112</v>
      </c>
      <c r="C323" t="s">
        <v>220</v>
      </c>
      <c r="D323" t="s">
        <v>29</v>
      </c>
      <c r="E323">
        <v>6</v>
      </c>
      <c r="F323" s="1">
        <v>19206.68</v>
      </c>
    </row>
    <row r="324" spans="1:6" x14ac:dyDescent="0.25">
      <c r="A324">
        <v>10320</v>
      </c>
      <c r="B324" t="s">
        <v>112</v>
      </c>
      <c r="C324" t="s">
        <v>220</v>
      </c>
      <c r="D324" t="s">
        <v>29</v>
      </c>
      <c r="E324">
        <v>5</v>
      </c>
      <c r="F324" s="1">
        <v>16799.03</v>
      </c>
    </row>
    <row r="325" spans="1:6" x14ac:dyDescent="0.25">
      <c r="A325">
        <v>10112</v>
      </c>
      <c r="B325" t="s">
        <v>112</v>
      </c>
      <c r="C325" t="s">
        <v>220</v>
      </c>
      <c r="D325" t="s">
        <v>29</v>
      </c>
      <c r="E325">
        <v>2</v>
      </c>
      <c r="F325" s="1">
        <v>7674.94</v>
      </c>
    </row>
    <row r="326" spans="1:6" x14ac:dyDescent="0.25">
      <c r="A326">
        <v>10215</v>
      </c>
      <c r="B326" t="s">
        <v>110</v>
      </c>
      <c r="C326" t="s">
        <v>198</v>
      </c>
      <c r="D326" t="s">
        <v>8</v>
      </c>
      <c r="E326">
        <v>10</v>
      </c>
      <c r="F326" s="1">
        <v>36070.47</v>
      </c>
    </row>
    <row r="327" spans="1:6" x14ac:dyDescent="0.25">
      <c r="A327">
        <v>10199</v>
      </c>
      <c r="B327" t="s">
        <v>110</v>
      </c>
      <c r="C327" t="s">
        <v>198</v>
      </c>
      <c r="D327" t="s">
        <v>8</v>
      </c>
      <c r="E327">
        <v>3</v>
      </c>
      <c r="F327" s="1">
        <v>7678.25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5FC3-0B73-495A-9422-D7D79BE4ECEF}">
  <dimension ref="A1:F99"/>
  <sheetViews>
    <sheetView workbookViewId="0">
      <selection activeCell="F2" sqref="F2"/>
    </sheetView>
  </sheetViews>
  <sheetFormatPr defaultRowHeight="15" x14ac:dyDescent="0.25"/>
  <cols>
    <col min="1" max="1" width="29" bestFit="1" customWidth="1"/>
    <col min="2" max="2" width="11.140625" bestFit="1" customWidth="1"/>
    <col min="3" max="3" width="19.28515625" bestFit="1" customWidth="1"/>
    <col min="4" max="4" width="19.5703125" style="1" customWidth="1"/>
    <col min="5" max="5" width="20.28515625" style="1" customWidth="1"/>
    <col min="6" max="6" width="23.42578125" customWidth="1"/>
  </cols>
  <sheetData>
    <row r="1" spans="1:6" x14ac:dyDescent="0.25">
      <c r="A1" t="s">
        <v>0</v>
      </c>
      <c r="B1" t="s">
        <v>1</v>
      </c>
      <c r="C1" t="s">
        <v>236</v>
      </c>
      <c r="D1" s="1" t="s">
        <v>2</v>
      </c>
      <c r="E1" s="1" t="s">
        <v>3</v>
      </c>
      <c r="F1" t="s">
        <v>244</v>
      </c>
    </row>
    <row r="2" spans="1:6" x14ac:dyDescent="0.25">
      <c r="A2" t="s">
        <v>4</v>
      </c>
      <c r="B2" t="s">
        <v>5</v>
      </c>
      <c r="C2">
        <v>26</v>
      </c>
      <c r="D2" s="1">
        <v>820689.54</v>
      </c>
      <c r="E2" s="1">
        <v>227600</v>
      </c>
      <c r="F2" t="s">
        <v>6</v>
      </c>
    </row>
    <row r="3" spans="1:6" x14ac:dyDescent="0.25">
      <c r="A3" t="s">
        <v>7</v>
      </c>
      <c r="B3" t="s">
        <v>8</v>
      </c>
      <c r="C3">
        <v>17</v>
      </c>
      <c r="D3" s="1">
        <v>591827.34</v>
      </c>
      <c r="E3" s="1">
        <v>210500</v>
      </c>
      <c r="F3" t="s">
        <v>6</v>
      </c>
    </row>
    <row r="4" spans="1:6" x14ac:dyDescent="0.25">
      <c r="A4" t="s">
        <v>26</v>
      </c>
      <c r="B4" t="s">
        <v>27</v>
      </c>
      <c r="C4">
        <v>5</v>
      </c>
      <c r="D4" s="1">
        <v>180585.07</v>
      </c>
      <c r="E4" s="1">
        <v>117300</v>
      </c>
      <c r="F4" t="s">
        <v>16</v>
      </c>
    </row>
    <row r="5" spans="1:6" x14ac:dyDescent="0.25">
      <c r="A5" t="s">
        <v>11</v>
      </c>
      <c r="B5" t="s">
        <v>8</v>
      </c>
      <c r="C5">
        <v>4</v>
      </c>
      <c r="D5" s="1">
        <v>177913.95</v>
      </c>
      <c r="E5" s="1">
        <v>138500</v>
      </c>
      <c r="F5" t="s">
        <v>6</v>
      </c>
    </row>
    <row r="6" spans="1:6" x14ac:dyDescent="0.25">
      <c r="A6" t="s">
        <v>25</v>
      </c>
      <c r="B6" t="s">
        <v>15</v>
      </c>
      <c r="C6">
        <v>4</v>
      </c>
      <c r="D6" s="1">
        <v>158573.12</v>
      </c>
      <c r="E6" s="1">
        <v>118200</v>
      </c>
      <c r="F6" t="s">
        <v>16</v>
      </c>
    </row>
    <row r="7" spans="1:6" x14ac:dyDescent="0.25">
      <c r="A7" t="s">
        <v>39</v>
      </c>
      <c r="B7" t="s">
        <v>40</v>
      </c>
      <c r="C7">
        <v>5</v>
      </c>
      <c r="D7" s="1">
        <v>156251.03</v>
      </c>
      <c r="E7" s="1">
        <v>103800</v>
      </c>
      <c r="F7" t="s">
        <v>16</v>
      </c>
    </row>
    <row r="8" spans="1:6" x14ac:dyDescent="0.25">
      <c r="A8" t="s">
        <v>64</v>
      </c>
      <c r="B8" t="s">
        <v>34</v>
      </c>
      <c r="C8">
        <v>5</v>
      </c>
      <c r="D8" s="1">
        <v>154622.07999999999</v>
      </c>
      <c r="E8" s="1">
        <v>88000</v>
      </c>
      <c r="F8" t="s">
        <v>45</v>
      </c>
    </row>
    <row r="9" spans="1:6" x14ac:dyDescent="0.25">
      <c r="A9" t="s">
        <v>30</v>
      </c>
      <c r="B9" t="s">
        <v>8</v>
      </c>
      <c r="C9">
        <v>4</v>
      </c>
      <c r="D9" s="1">
        <v>149085.15</v>
      </c>
      <c r="E9" s="1">
        <v>114900</v>
      </c>
      <c r="F9" t="s">
        <v>16</v>
      </c>
    </row>
    <row r="10" spans="1:6" x14ac:dyDescent="0.25">
      <c r="A10" t="s">
        <v>12</v>
      </c>
      <c r="B10" t="s">
        <v>13</v>
      </c>
      <c r="C10">
        <v>3</v>
      </c>
      <c r="D10" s="1">
        <v>148410.09</v>
      </c>
      <c r="E10" s="1">
        <v>136800</v>
      </c>
      <c r="F10" t="s">
        <v>6</v>
      </c>
    </row>
    <row r="11" spans="1:6" x14ac:dyDescent="0.25">
      <c r="A11" t="s">
        <v>83</v>
      </c>
      <c r="B11" t="s">
        <v>8</v>
      </c>
      <c r="C11">
        <v>4</v>
      </c>
      <c r="D11" s="1">
        <v>143536.26999999999</v>
      </c>
      <c r="E11" s="1">
        <v>77600</v>
      </c>
      <c r="F11" t="s">
        <v>45</v>
      </c>
    </row>
    <row r="12" spans="1:6" x14ac:dyDescent="0.25">
      <c r="A12" t="s">
        <v>90</v>
      </c>
      <c r="B12" t="s">
        <v>91</v>
      </c>
      <c r="C12">
        <v>4</v>
      </c>
      <c r="D12" s="1">
        <v>137480.07</v>
      </c>
      <c r="E12" s="1">
        <v>71700</v>
      </c>
      <c r="F12" t="s">
        <v>88</v>
      </c>
    </row>
    <row r="13" spans="1:6" x14ac:dyDescent="0.25">
      <c r="A13" t="s">
        <v>33</v>
      </c>
      <c r="B13" t="s">
        <v>34</v>
      </c>
      <c r="C13">
        <v>4</v>
      </c>
      <c r="D13" s="1">
        <v>137460.79</v>
      </c>
      <c r="E13" s="1">
        <v>110000</v>
      </c>
      <c r="F13" t="s">
        <v>16</v>
      </c>
    </row>
    <row r="14" spans="1:6" x14ac:dyDescent="0.25">
      <c r="A14" t="s">
        <v>35</v>
      </c>
      <c r="B14" t="s">
        <v>27</v>
      </c>
      <c r="C14">
        <v>4</v>
      </c>
      <c r="D14" s="1">
        <v>137034.22</v>
      </c>
      <c r="E14" s="1">
        <v>107800</v>
      </c>
      <c r="F14" t="s">
        <v>16</v>
      </c>
    </row>
    <row r="15" spans="1:6" x14ac:dyDescent="0.25">
      <c r="A15" t="s">
        <v>57</v>
      </c>
      <c r="B15" t="s">
        <v>27</v>
      </c>
      <c r="C15">
        <v>4</v>
      </c>
      <c r="D15" s="1">
        <v>133907.12</v>
      </c>
      <c r="E15" s="1">
        <v>93300</v>
      </c>
      <c r="F15" t="s">
        <v>45</v>
      </c>
    </row>
    <row r="16" spans="1:6" x14ac:dyDescent="0.25">
      <c r="A16" t="s">
        <v>37</v>
      </c>
      <c r="B16" t="s">
        <v>8</v>
      </c>
      <c r="C16">
        <v>4</v>
      </c>
      <c r="D16" s="1">
        <v>132340.78</v>
      </c>
      <c r="E16" s="1">
        <v>105000</v>
      </c>
      <c r="F16" t="s">
        <v>16</v>
      </c>
    </row>
    <row r="17" spans="1:6" x14ac:dyDescent="0.25">
      <c r="A17" t="s">
        <v>14</v>
      </c>
      <c r="B17" t="s">
        <v>15</v>
      </c>
      <c r="C17">
        <v>3</v>
      </c>
      <c r="D17" s="1">
        <v>130305.35</v>
      </c>
      <c r="E17" s="1">
        <v>123900</v>
      </c>
      <c r="F17" t="s">
        <v>16</v>
      </c>
    </row>
    <row r="18" spans="1:6" x14ac:dyDescent="0.25">
      <c r="A18" t="s">
        <v>71</v>
      </c>
      <c r="B18" t="s">
        <v>21</v>
      </c>
      <c r="C18">
        <v>5</v>
      </c>
      <c r="D18" s="1">
        <v>129085.12</v>
      </c>
      <c r="E18" s="1">
        <v>83400</v>
      </c>
      <c r="F18" t="s">
        <v>45</v>
      </c>
    </row>
    <row r="19" spans="1:6" x14ac:dyDescent="0.25">
      <c r="A19" t="s">
        <v>24</v>
      </c>
      <c r="B19" t="s">
        <v>19</v>
      </c>
      <c r="C19">
        <v>3</v>
      </c>
      <c r="D19" s="1">
        <v>127529.69</v>
      </c>
      <c r="E19" s="1">
        <v>119600</v>
      </c>
      <c r="F19" t="s">
        <v>16</v>
      </c>
    </row>
    <row r="20" spans="1:6" x14ac:dyDescent="0.25">
      <c r="A20" t="s">
        <v>77</v>
      </c>
      <c r="B20" t="s">
        <v>15</v>
      </c>
      <c r="C20">
        <v>5</v>
      </c>
      <c r="D20" s="1">
        <v>126983.19</v>
      </c>
      <c r="E20" s="1">
        <v>81100</v>
      </c>
      <c r="F20" t="s">
        <v>45</v>
      </c>
    </row>
    <row r="21" spans="1:6" x14ac:dyDescent="0.25">
      <c r="A21" t="s">
        <v>18</v>
      </c>
      <c r="B21" t="s">
        <v>19</v>
      </c>
      <c r="C21">
        <v>3</v>
      </c>
      <c r="D21" s="1">
        <v>125505.57</v>
      </c>
      <c r="E21" s="1">
        <v>121400</v>
      </c>
      <c r="F21" t="s">
        <v>16</v>
      </c>
    </row>
    <row r="22" spans="1:6" x14ac:dyDescent="0.25">
      <c r="A22" t="s">
        <v>28</v>
      </c>
      <c r="B22" t="s">
        <v>29</v>
      </c>
      <c r="C22">
        <v>3</v>
      </c>
      <c r="D22" s="1">
        <v>120943.53</v>
      </c>
      <c r="E22" s="1">
        <v>116400</v>
      </c>
      <c r="F22" t="s">
        <v>16</v>
      </c>
    </row>
    <row r="23" spans="1:6" x14ac:dyDescent="0.25">
      <c r="A23" t="s">
        <v>31</v>
      </c>
      <c r="B23" t="s">
        <v>8</v>
      </c>
      <c r="C23">
        <v>3</v>
      </c>
      <c r="D23" s="1">
        <v>116449.29</v>
      </c>
      <c r="E23" s="1">
        <v>114200</v>
      </c>
      <c r="F23" t="s">
        <v>16</v>
      </c>
    </row>
    <row r="24" spans="1:6" x14ac:dyDescent="0.25">
      <c r="A24" t="s">
        <v>38</v>
      </c>
      <c r="B24" t="s">
        <v>5</v>
      </c>
      <c r="C24">
        <v>3</v>
      </c>
      <c r="D24" s="1">
        <v>112440.09</v>
      </c>
      <c r="E24" s="1">
        <v>104600</v>
      </c>
      <c r="F24" t="s">
        <v>16</v>
      </c>
    </row>
    <row r="25" spans="1:6" x14ac:dyDescent="0.25">
      <c r="A25" t="s">
        <v>9</v>
      </c>
      <c r="B25" t="s">
        <v>10</v>
      </c>
      <c r="C25">
        <v>2</v>
      </c>
      <c r="D25" s="1">
        <v>108777.92</v>
      </c>
      <c r="E25" s="1">
        <v>141300</v>
      </c>
      <c r="F25" t="s">
        <v>6</v>
      </c>
    </row>
    <row r="26" spans="1:6" x14ac:dyDescent="0.25">
      <c r="A26" t="s">
        <v>46</v>
      </c>
      <c r="B26" t="s">
        <v>40</v>
      </c>
      <c r="C26">
        <v>4</v>
      </c>
      <c r="D26" s="1">
        <v>107746.75</v>
      </c>
      <c r="E26" s="1">
        <v>97900</v>
      </c>
      <c r="F26" t="s">
        <v>45</v>
      </c>
    </row>
    <row r="27" spans="1:6" x14ac:dyDescent="0.25">
      <c r="A27" t="s">
        <v>58</v>
      </c>
      <c r="B27" t="s">
        <v>13</v>
      </c>
      <c r="C27">
        <v>3</v>
      </c>
      <c r="D27" s="1">
        <v>106610.72</v>
      </c>
      <c r="E27" s="1">
        <v>92700</v>
      </c>
      <c r="F27" t="s">
        <v>45</v>
      </c>
    </row>
    <row r="28" spans="1:6" x14ac:dyDescent="0.25">
      <c r="A28" t="s">
        <v>54</v>
      </c>
      <c r="B28" t="s">
        <v>55</v>
      </c>
      <c r="C28">
        <v>4</v>
      </c>
      <c r="D28" s="1">
        <v>105548.73</v>
      </c>
      <c r="E28" s="1">
        <v>94400</v>
      </c>
      <c r="F28" t="s">
        <v>45</v>
      </c>
    </row>
    <row r="29" spans="1:6" x14ac:dyDescent="0.25">
      <c r="A29" t="s">
        <v>68</v>
      </c>
      <c r="B29" t="s">
        <v>8</v>
      </c>
      <c r="C29">
        <v>4</v>
      </c>
      <c r="D29" s="1">
        <v>104545.22</v>
      </c>
      <c r="E29" s="1">
        <v>84600</v>
      </c>
      <c r="F29" t="s">
        <v>45</v>
      </c>
    </row>
    <row r="30" spans="1:6" x14ac:dyDescent="0.25">
      <c r="A30" t="s">
        <v>42</v>
      </c>
      <c r="B30" t="s">
        <v>8</v>
      </c>
      <c r="C30">
        <v>4</v>
      </c>
      <c r="D30" s="1">
        <v>104358.69</v>
      </c>
      <c r="E30" s="1">
        <v>100600</v>
      </c>
      <c r="F30" t="s">
        <v>16</v>
      </c>
    </row>
    <row r="31" spans="1:6" x14ac:dyDescent="0.25">
      <c r="A31" t="s">
        <v>73</v>
      </c>
      <c r="B31" t="s">
        <v>74</v>
      </c>
      <c r="C31">
        <v>4</v>
      </c>
      <c r="D31" s="1">
        <v>104224.79</v>
      </c>
      <c r="E31" s="1">
        <v>81700</v>
      </c>
      <c r="F31" t="s">
        <v>45</v>
      </c>
    </row>
    <row r="32" spans="1:6" x14ac:dyDescent="0.25">
      <c r="A32" t="s">
        <v>43</v>
      </c>
      <c r="B32" t="s">
        <v>44</v>
      </c>
      <c r="C32">
        <v>3</v>
      </c>
      <c r="D32" s="1">
        <v>103896.74</v>
      </c>
      <c r="E32" s="1">
        <v>98800</v>
      </c>
      <c r="F32" t="s">
        <v>45</v>
      </c>
    </row>
    <row r="33" spans="1:6" x14ac:dyDescent="0.25">
      <c r="A33" t="s">
        <v>53</v>
      </c>
      <c r="B33" t="s">
        <v>8</v>
      </c>
      <c r="C33">
        <v>3</v>
      </c>
      <c r="D33" s="1">
        <v>101872.52</v>
      </c>
      <c r="E33" s="1">
        <v>94500</v>
      </c>
      <c r="F33" t="s">
        <v>45</v>
      </c>
    </row>
    <row r="34" spans="1:6" x14ac:dyDescent="0.25">
      <c r="A34" t="s">
        <v>47</v>
      </c>
      <c r="B34" t="s">
        <v>48</v>
      </c>
      <c r="C34">
        <v>3</v>
      </c>
      <c r="D34" s="1">
        <v>97562.47</v>
      </c>
      <c r="E34" s="1">
        <v>96800</v>
      </c>
      <c r="F34" t="s">
        <v>45</v>
      </c>
    </row>
    <row r="35" spans="1:6" x14ac:dyDescent="0.25">
      <c r="A35" t="s">
        <v>60</v>
      </c>
      <c r="B35" t="s">
        <v>44</v>
      </c>
      <c r="C35">
        <v>3</v>
      </c>
      <c r="D35" s="1">
        <v>95706.15</v>
      </c>
      <c r="E35" s="1">
        <v>90500</v>
      </c>
      <c r="F35" t="s">
        <v>45</v>
      </c>
    </row>
    <row r="36" spans="1:6" x14ac:dyDescent="0.25">
      <c r="A36" t="s">
        <v>49</v>
      </c>
      <c r="B36" t="s">
        <v>44</v>
      </c>
      <c r="C36">
        <v>3</v>
      </c>
      <c r="D36" s="1">
        <v>95546.46</v>
      </c>
      <c r="E36" s="1">
        <v>96500</v>
      </c>
      <c r="F36" t="s">
        <v>45</v>
      </c>
    </row>
    <row r="37" spans="1:6" x14ac:dyDescent="0.25">
      <c r="A37" t="s">
        <v>70</v>
      </c>
      <c r="B37" t="s">
        <v>8</v>
      </c>
      <c r="C37">
        <v>3</v>
      </c>
      <c r="D37" s="1">
        <v>95424.63</v>
      </c>
      <c r="E37" s="1">
        <v>84300</v>
      </c>
      <c r="F37" t="s">
        <v>45</v>
      </c>
    </row>
    <row r="38" spans="1:6" x14ac:dyDescent="0.25">
      <c r="A38" t="s">
        <v>82</v>
      </c>
      <c r="B38" t="s">
        <v>34</v>
      </c>
      <c r="C38">
        <v>3</v>
      </c>
      <c r="D38" s="1">
        <v>94431.76</v>
      </c>
      <c r="E38" s="1">
        <v>77700</v>
      </c>
      <c r="F38" t="s">
        <v>45</v>
      </c>
    </row>
    <row r="39" spans="1:6" x14ac:dyDescent="0.25">
      <c r="A39" t="s">
        <v>59</v>
      </c>
      <c r="B39" t="s">
        <v>8</v>
      </c>
      <c r="C39">
        <v>3</v>
      </c>
      <c r="D39" s="1">
        <v>93803.3</v>
      </c>
      <c r="E39" s="1">
        <v>90700</v>
      </c>
      <c r="F39" t="s">
        <v>45</v>
      </c>
    </row>
    <row r="40" spans="1:6" x14ac:dyDescent="0.25">
      <c r="A40" t="s">
        <v>17</v>
      </c>
      <c r="B40" t="s">
        <v>8</v>
      </c>
      <c r="C40">
        <v>2</v>
      </c>
      <c r="D40" s="1">
        <v>90545.37</v>
      </c>
      <c r="E40" s="1">
        <v>123700</v>
      </c>
      <c r="F40" t="s">
        <v>16</v>
      </c>
    </row>
    <row r="41" spans="1:6" x14ac:dyDescent="0.25">
      <c r="A41" t="s">
        <v>65</v>
      </c>
      <c r="B41" t="s">
        <v>34</v>
      </c>
      <c r="C41">
        <v>3</v>
      </c>
      <c r="D41" s="1">
        <v>90332.38</v>
      </c>
      <c r="E41" s="1">
        <v>86800</v>
      </c>
      <c r="F41" t="s">
        <v>45</v>
      </c>
    </row>
    <row r="42" spans="1:6" x14ac:dyDescent="0.25">
      <c r="A42" t="s">
        <v>20</v>
      </c>
      <c r="B42" t="s">
        <v>21</v>
      </c>
      <c r="C42">
        <v>2</v>
      </c>
      <c r="D42" s="1">
        <v>89909.8</v>
      </c>
      <c r="E42" s="1">
        <v>120800</v>
      </c>
      <c r="F42" t="s">
        <v>16</v>
      </c>
    </row>
    <row r="43" spans="1:6" x14ac:dyDescent="0.25">
      <c r="A43" t="s">
        <v>22</v>
      </c>
      <c r="B43" t="s">
        <v>23</v>
      </c>
      <c r="C43">
        <v>2</v>
      </c>
      <c r="D43" s="1">
        <v>89223.14</v>
      </c>
      <c r="E43" s="1">
        <v>120400</v>
      </c>
      <c r="F43" t="s">
        <v>16</v>
      </c>
    </row>
    <row r="44" spans="1:6" x14ac:dyDescent="0.25">
      <c r="A44" t="s">
        <v>66</v>
      </c>
      <c r="B44" t="s">
        <v>8</v>
      </c>
      <c r="C44">
        <v>3</v>
      </c>
      <c r="D44" s="1">
        <v>88627.49</v>
      </c>
      <c r="E44" s="1">
        <v>85800</v>
      </c>
      <c r="F44" t="s">
        <v>45</v>
      </c>
    </row>
    <row r="45" spans="1:6" x14ac:dyDescent="0.25">
      <c r="A45" t="s">
        <v>75</v>
      </c>
      <c r="B45" t="s">
        <v>76</v>
      </c>
      <c r="C45">
        <v>3</v>
      </c>
      <c r="D45" s="1">
        <v>87468.3</v>
      </c>
      <c r="E45" s="1">
        <v>81500</v>
      </c>
      <c r="F45" t="s">
        <v>45</v>
      </c>
    </row>
    <row r="46" spans="1:6" x14ac:dyDescent="0.25">
      <c r="A46" t="s">
        <v>69</v>
      </c>
      <c r="B46" t="s">
        <v>15</v>
      </c>
      <c r="C46">
        <v>3</v>
      </c>
      <c r="D46" s="1">
        <v>86553.52</v>
      </c>
      <c r="E46" s="1">
        <v>84300</v>
      </c>
      <c r="F46" t="s">
        <v>45</v>
      </c>
    </row>
    <row r="47" spans="1:6" x14ac:dyDescent="0.25">
      <c r="A47" t="s">
        <v>52</v>
      </c>
      <c r="B47" t="s">
        <v>15</v>
      </c>
      <c r="C47">
        <v>3</v>
      </c>
      <c r="D47" s="1">
        <v>86436.97</v>
      </c>
      <c r="E47" s="1">
        <v>95000</v>
      </c>
      <c r="F47" t="s">
        <v>45</v>
      </c>
    </row>
    <row r="48" spans="1:6" x14ac:dyDescent="0.25">
      <c r="A48" t="s">
        <v>120</v>
      </c>
      <c r="B48" t="s">
        <v>8</v>
      </c>
      <c r="C48">
        <v>3</v>
      </c>
      <c r="D48" s="1">
        <v>84340.32</v>
      </c>
      <c r="E48" s="1">
        <v>41900</v>
      </c>
      <c r="F48" t="s">
        <v>231</v>
      </c>
    </row>
    <row r="49" spans="1:6" x14ac:dyDescent="0.25">
      <c r="A49" t="s">
        <v>32</v>
      </c>
      <c r="B49" t="s">
        <v>19</v>
      </c>
      <c r="C49">
        <v>2</v>
      </c>
      <c r="D49" s="1">
        <v>82223.23</v>
      </c>
      <c r="E49" s="1">
        <v>113000</v>
      </c>
      <c r="F49" t="s">
        <v>16</v>
      </c>
    </row>
    <row r="50" spans="1:6" x14ac:dyDescent="0.25">
      <c r="A50" t="s">
        <v>119</v>
      </c>
      <c r="B50" t="s">
        <v>8</v>
      </c>
      <c r="C50">
        <v>3</v>
      </c>
      <c r="D50" s="1">
        <v>81806.55</v>
      </c>
      <c r="E50" s="1">
        <v>43000</v>
      </c>
      <c r="F50" t="s">
        <v>231</v>
      </c>
    </row>
    <row r="51" spans="1:6" x14ac:dyDescent="0.25">
      <c r="A51" t="s">
        <v>85</v>
      </c>
      <c r="B51" t="s">
        <v>13</v>
      </c>
      <c r="C51">
        <v>3</v>
      </c>
      <c r="D51" s="1">
        <v>80556.73</v>
      </c>
      <c r="E51" s="1">
        <v>77000</v>
      </c>
      <c r="F51" t="s">
        <v>45</v>
      </c>
    </row>
    <row r="52" spans="1:6" x14ac:dyDescent="0.25">
      <c r="A52" t="s">
        <v>36</v>
      </c>
      <c r="B52" t="s">
        <v>8</v>
      </c>
      <c r="C52">
        <v>2</v>
      </c>
      <c r="D52" s="1">
        <v>80375.240000000005</v>
      </c>
      <c r="E52" s="1">
        <v>105000</v>
      </c>
      <c r="F52" t="s">
        <v>16</v>
      </c>
    </row>
    <row r="53" spans="1:6" x14ac:dyDescent="0.25">
      <c r="A53" t="s">
        <v>89</v>
      </c>
      <c r="B53" t="s">
        <v>8</v>
      </c>
      <c r="C53">
        <v>3</v>
      </c>
      <c r="D53" s="1">
        <v>80180.98</v>
      </c>
      <c r="E53" s="1">
        <v>71800</v>
      </c>
      <c r="F53" t="s">
        <v>88</v>
      </c>
    </row>
    <row r="54" spans="1:6" x14ac:dyDescent="0.25">
      <c r="A54" t="s">
        <v>41</v>
      </c>
      <c r="B54" t="s">
        <v>8</v>
      </c>
      <c r="C54">
        <v>2</v>
      </c>
      <c r="D54" s="1">
        <v>78432.160000000003</v>
      </c>
      <c r="E54" s="1">
        <v>102700</v>
      </c>
      <c r="F54" t="s">
        <v>16</v>
      </c>
    </row>
    <row r="55" spans="1:6" x14ac:dyDescent="0.25">
      <c r="A55" t="s">
        <v>87</v>
      </c>
      <c r="B55" t="s">
        <v>8</v>
      </c>
      <c r="C55">
        <v>3</v>
      </c>
      <c r="D55" s="1">
        <v>77726.59</v>
      </c>
      <c r="E55" s="1">
        <v>72600</v>
      </c>
      <c r="F55" t="s">
        <v>88</v>
      </c>
    </row>
    <row r="56" spans="1:6" x14ac:dyDescent="0.25">
      <c r="A56" t="s">
        <v>105</v>
      </c>
      <c r="B56" t="s">
        <v>23</v>
      </c>
      <c r="C56">
        <v>4</v>
      </c>
      <c r="D56" s="1">
        <v>75937.759999999995</v>
      </c>
      <c r="E56" s="1">
        <v>59700</v>
      </c>
      <c r="F56" t="s">
        <v>88</v>
      </c>
    </row>
    <row r="57" spans="1:6" x14ac:dyDescent="0.25">
      <c r="A57" t="s">
        <v>111</v>
      </c>
      <c r="B57" t="s">
        <v>15</v>
      </c>
      <c r="C57">
        <v>3</v>
      </c>
      <c r="D57" s="1">
        <v>75859.320000000007</v>
      </c>
      <c r="E57" s="1">
        <v>53800</v>
      </c>
      <c r="F57" t="s">
        <v>88</v>
      </c>
    </row>
    <row r="58" spans="1:6" x14ac:dyDescent="0.25">
      <c r="A58" t="s">
        <v>92</v>
      </c>
      <c r="B58" t="s">
        <v>8</v>
      </c>
      <c r="C58">
        <v>3</v>
      </c>
      <c r="D58" s="1">
        <v>73533.649999999994</v>
      </c>
      <c r="E58" s="1">
        <v>70700</v>
      </c>
      <c r="F58" t="s">
        <v>88</v>
      </c>
    </row>
    <row r="59" spans="1:6" x14ac:dyDescent="0.25">
      <c r="A59" t="s">
        <v>86</v>
      </c>
      <c r="B59" t="s">
        <v>8</v>
      </c>
      <c r="C59">
        <v>3</v>
      </c>
      <c r="D59" s="1">
        <v>72497.64</v>
      </c>
      <c r="E59" s="1">
        <v>76400</v>
      </c>
      <c r="F59" t="s">
        <v>45</v>
      </c>
    </row>
    <row r="60" spans="1:6" x14ac:dyDescent="0.25">
      <c r="A60" t="s">
        <v>56</v>
      </c>
      <c r="B60" t="s">
        <v>13</v>
      </c>
      <c r="C60">
        <v>2</v>
      </c>
      <c r="D60" s="1">
        <v>71783.75</v>
      </c>
      <c r="E60" s="1">
        <v>93900</v>
      </c>
      <c r="F60" t="s">
        <v>45</v>
      </c>
    </row>
    <row r="61" spans="1:6" x14ac:dyDescent="0.25">
      <c r="A61" t="s">
        <v>99</v>
      </c>
      <c r="B61" t="s">
        <v>15</v>
      </c>
      <c r="C61">
        <v>3</v>
      </c>
      <c r="D61" s="1">
        <v>71547.53</v>
      </c>
      <c r="E61" s="1">
        <v>65000</v>
      </c>
      <c r="F61" t="s">
        <v>88</v>
      </c>
    </row>
    <row r="62" spans="1:6" x14ac:dyDescent="0.25">
      <c r="A62" t="s">
        <v>79</v>
      </c>
      <c r="B62" t="s">
        <v>80</v>
      </c>
      <c r="C62">
        <v>3</v>
      </c>
      <c r="D62" s="1">
        <v>70851.58</v>
      </c>
      <c r="E62" s="1">
        <v>79900</v>
      </c>
      <c r="F62" t="s">
        <v>45</v>
      </c>
    </row>
    <row r="63" spans="1:6" x14ac:dyDescent="0.25">
      <c r="A63" t="s">
        <v>50</v>
      </c>
      <c r="B63" t="s">
        <v>8</v>
      </c>
      <c r="C63">
        <v>2</v>
      </c>
      <c r="D63" s="1">
        <v>70378.649999999994</v>
      </c>
      <c r="E63" s="1">
        <v>95400</v>
      </c>
      <c r="F63" t="s">
        <v>45</v>
      </c>
    </row>
    <row r="64" spans="1:6" x14ac:dyDescent="0.25">
      <c r="A64" t="s">
        <v>61</v>
      </c>
      <c r="B64" t="s">
        <v>62</v>
      </c>
      <c r="C64">
        <v>2</v>
      </c>
      <c r="D64" s="1">
        <v>70122.19</v>
      </c>
      <c r="E64" s="1">
        <v>90300</v>
      </c>
      <c r="F64" t="s">
        <v>45</v>
      </c>
    </row>
    <row r="65" spans="1:6" x14ac:dyDescent="0.25">
      <c r="A65" t="s">
        <v>97</v>
      </c>
      <c r="B65" t="s">
        <v>8</v>
      </c>
      <c r="C65">
        <v>3</v>
      </c>
      <c r="D65" s="1">
        <v>69214.33</v>
      </c>
      <c r="E65" s="1">
        <v>67500</v>
      </c>
      <c r="F65" t="s">
        <v>88</v>
      </c>
    </row>
    <row r="66" spans="1:6" x14ac:dyDescent="0.25">
      <c r="A66" t="s">
        <v>51</v>
      </c>
      <c r="B66" t="s">
        <v>48</v>
      </c>
      <c r="C66">
        <v>2</v>
      </c>
      <c r="D66" s="1">
        <v>69059.039999999994</v>
      </c>
      <c r="E66" s="1">
        <v>95100</v>
      </c>
      <c r="F66" t="s">
        <v>45</v>
      </c>
    </row>
    <row r="67" spans="1:6" x14ac:dyDescent="0.25">
      <c r="A67" t="s">
        <v>115</v>
      </c>
      <c r="B67" t="s">
        <v>62</v>
      </c>
      <c r="C67">
        <v>3</v>
      </c>
      <c r="D67" s="1">
        <v>68977.67</v>
      </c>
      <c r="E67" s="1">
        <v>48700</v>
      </c>
      <c r="F67" t="s">
        <v>231</v>
      </c>
    </row>
    <row r="68" spans="1:6" x14ac:dyDescent="0.25">
      <c r="A68" t="s">
        <v>102</v>
      </c>
      <c r="B68" t="s">
        <v>5</v>
      </c>
      <c r="C68">
        <v>3</v>
      </c>
      <c r="D68" s="1">
        <v>68520.47</v>
      </c>
      <c r="E68" s="1">
        <v>60300</v>
      </c>
      <c r="F68" t="s">
        <v>88</v>
      </c>
    </row>
    <row r="69" spans="1:6" x14ac:dyDescent="0.25">
      <c r="A69" t="s">
        <v>96</v>
      </c>
      <c r="B69" t="s">
        <v>15</v>
      </c>
      <c r="C69">
        <v>3</v>
      </c>
      <c r="D69" s="1">
        <v>67659.19</v>
      </c>
      <c r="E69" s="1">
        <v>68100</v>
      </c>
      <c r="F69" t="s">
        <v>88</v>
      </c>
    </row>
    <row r="70" spans="1:6" x14ac:dyDescent="0.25">
      <c r="A70" t="s">
        <v>63</v>
      </c>
      <c r="B70" t="s">
        <v>62</v>
      </c>
      <c r="C70">
        <v>2</v>
      </c>
      <c r="D70" s="1">
        <v>66812</v>
      </c>
      <c r="E70" s="1">
        <v>89600</v>
      </c>
      <c r="F70" t="s">
        <v>45</v>
      </c>
    </row>
    <row r="71" spans="1:6" x14ac:dyDescent="0.25">
      <c r="A71" t="s">
        <v>100</v>
      </c>
      <c r="B71" t="s">
        <v>8</v>
      </c>
      <c r="C71">
        <v>3</v>
      </c>
      <c r="D71" s="1">
        <v>66710.559999999998</v>
      </c>
      <c r="E71" s="1">
        <v>64600</v>
      </c>
      <c r="F71" t="s">
        <v>88</v>
      </c>
    </row>
    <row r="72" spans="1:6" x14ac:dyDescent="0.25">
      <c r="A72" t="s">
        <v>112</v>
      </c>
      <c r="B72" t="s">
        <v>29</v>
      </c>
      <c r="C72">
        <v>4</v>
      </c>
      <c r="D72" s="1">
        <v>66694.820000000007</v>
      </c>
      <c r="E72" s="1">
        <v>53100</v>
      </c>
      <c r="F72" t="s">
        <v>88</v>
      </c>
    </row>
    <row r="73" spans="1:6" x14ac:dyDescent="0.25">
      <c r="A73" t="s">
        <v>67</v>
      </c>
      <c r="B73" t="s">
        <v>8</v>
      </c>
      <c r="C73">
        <v>2</v>
      </c>
      <c r="D73" s="1">
        <v>65541.740000000005</v>
      </c>
      <c r="E73" s="1">
        <v>85100</v>
      </c>
      <c r="F73" t="s">
        <v>45</v>
      </c>
    </row>
    <row r="74" spans="1:6" x14ac:dyDescent="0.25">
      <c r="A74" t="s">
        <v>127</v>
      </c>
      <c r="B74" t="s">
        <v>55</v>
      </c>
      <c r="C74">
        <v>2</v>
      </c>
      <c r="D74" s="1">
        <v>62361.22</v>
      </c>
      <c r="E74" s="1">
        <v>1200</v>
      </c>
      <c r="F74" t="s">
        <v>231</v>
      </c>
    </row>
    <row r="75" spans="1:6" x14ac:dyDescent="0.25">
      <c r="A75" t="s">
        <v>72</v>
      </c>
      <c r="B75" t="s">
        <v>15</v>
      </c>
      <c r="C75">
        <v>2</v>
      </c>
      <c r="D75" s="1">
        <v>61781.7</v>
      </c>
      <c r="E75" s="1">
        <v>82900</v>
      </c>
      <c r="F75" t="s">
        <v>45</v>
      </c>
    </row>
    <row r="76" spans="1:6" x14ac:dyDescent="0.25">
      <c r="A76" t="s">
        <v>101</v>
      </c>
      <c r="B76" t="s">
        <v>15</v>
      </c>
      <c r="C76">
        <v>3</v>
      </c>
      <c r="D76" s="1">
        <v>60483.360000000001</v>
      </c>
      <c r="E76" s="1">
        <v>61100</v>
      </c>
      <c r="F76" t="s">
        <v>88</v>
      </c>
    </row>
    <row r="77" spans="1:6" x14ac:dyDescent="0.25">
      <c r="A77" t="s">
        <v>81</v>
      </c>
      <c r="B77" t="s">
        <v>15</v>
      </c>
      <c r="C77">
        <v>2</v>
      </c>
      <c r="D77" s="1">
        <v>58876.41</v>
      </c>
      <c r="E77" s="1">
        <v>77900</v>
      </c>
      <c r="F77" t="s">
        <v>45</v>
      </c>
    </row>
    <row r="78" spans="1:6" x14ac:dyDescent="0.25">
      <c r="A78" t="s">
        <v>78</v>
      </c>
      <c r="B78" t="s">
        <v>8</v>
      </c>
      <c r="C78">
        <v>2</v>
      </c>
      <c r="D78" s="1">
        <v>57939.34</v>
      </c>
      <c r="E78" s="1">
        <v>81100</v>
      </c>
      <c r="F78" t="s">
        <v>45</v>
      </c>
    </row>
    <row r="79" spans="1:6" x14ac:dyDescent="0.25">
      <c r="A79" t="s">
        <v>104</v>
      </c>
      <c r="B79" t="s">
        <v>27</v>
      </c>
      <c r="C79">
        <v>3</v>
      </c>
      <c r="D79" s="1">
        <v>55866.02</v>
      </c>
      <c r="E79" s="1">
        <v>60300</v>
      </c>
      <c r="F79" t="s">
        <v>88</v>
      </c>
    </row>
    <row r="80" spans="1:6" x14ac:dyDescent="0.25">
      <c r="A80" t="s">
        <v>95</v>
      </c>
      <c r="B80" t="s">
        <v>8</v>
      </c>
      <c r="C80">
        <v>2</v>
      </c>
      <c r="D80" s="1">
        <v>55577.26</v>
      </c>
      <c r="E80" s="1">
        <v>68700</v>
      </c>
      <c r="F80" t="s">
        <v>88</v>
      </c>
    </row>
    <row r="81" spans="1:6" x14ac:dyDescent="0.25">
      <c r="A81" t="s">
        <v>113</v>
      </c>
      <c r="B81" t="s">
        <v>27</v>
      </c>
      <c r="C81">
        <v>3</v>
      </c>
      <c r="D81" s="1">
        <v>55190.16</v>
      </c>
      <c r="E81" s="1">
        <v>51600</v>
      </c>
      <c r="F81" t="s">
        <v>88</v>
      </c>
    </row>
    <row r="82" spans="1:6" x14ac:dyDescent="0.25">
      <c r="A82" t="s">
        <v>116</v>
      </c>
      <c r="B82" t="s">
        <v>91</v>
      </c>
      <c r="C82">
        <v>3</v>
      </c>
      <c r="D82" s="1">
        <v>51059.99</v>
      </c>
      <c r="E82" s="1">
        <v>45300</v>
      </c>
      <c r="F82" t="s">
        <v>231</v>
      </c>
    </row>
    <row r="83" spans="1:6" x14ac:dyDescent="0.25">
      <c r="A83" t="s">
        <v>98</v>
      </c>
      <c r="B83" t="s">
        <v>5</v>
      </c>
      <c r="C83">
        <v>2</v>
      </c>
      <c r="D83" s="1">
        <v>50987.85</v>
      </c>
      <c r="E83" s="1">
        <v>65700</v>
      </c>
      <c r="F83" t="s">
        <v>88</v>
      </c>
    </row>
    <row r="84" spans="1:6" x14ac:dyDescent="0.25">
      <c r="A84" t="s">
        <v>114</v>
      </c>
      <c r="B84" t="s">
        <v>8</v>
      </c>
      <c r="C84">
        <v>3</v>
      </c>
      <c r="D84" s="1">
        <v>49967.78</v>
      </c>
      <c r="E84" s="1">
        <v>49700</v>
      </c>
      <c r="F84" t="s">
        <v>231</v>
      </c>
    </row>
    <row r="85" spans="1:6" x14ac:dyDescent="0.25">
      <c r="A85" t="s">
        <v>93</v>
      </c>
      <c r="B85" t="s">
        <v>94</v>
      </c>
      <c r="C85">
        <v>2</v>
      </c>
      <c r="D85" s="1">
        <v>49898.27</v>
      </c>
      <c r="E85" s="1">
        <v>69400</v>
      </c>
      <c r="F85" t="s">
        <v>88</v>
      </c>
    </row>
    <row r="86" spans="1:6" x14ac:dyDescent="0.25">
      <c r="A86" t="s">
        <v>106</v>
      </c>
      <c r="B86" t="s">
        <v>5</v>
      </c>
      <c r="C86">
        <v>2</v>
      </c>
      <c r="D86" s="1">
        <v>46751.14</v>
      </c>
      <c r="E86" s="1">
        <v>59600</v>
      </c>
      <c r="F86" t="s">
        <v>88</v>
      </c>
    </row>
    <row r="87" spans="1:6" x14ac:dyDescent="0.25">
      <c r="A87" t="s">
        <v>107</v>
      </c>
      <c r="B87" t="s">
        <v>108</v>
      </c>
      <c r="C87">
        <v>2</v>
      </c>
      <c r="D87" s="1">
        <v>45480.79</v>
      </c>
      <c r="E87" s="1">
        <v>58600</v>
      </c>
      <c r="F87" t="s">
        <v>88</v>
      </c>
    </row>
    <row r="88" spans="1:6" x14ac:dyDescent="0.25">
      <c r="A88" t="s">
        <v>110</v>
      </c>
      <c r="B88" t="s">
        <v>8</v>
      </c>
      <c r="C88">
        <v>2</v>
      </c>
      <c r="D88" s="1">
        <v>43748.72</v>
      </c>
      <c r="E88" s="1">
        <v>55400</v>
      </c>
      <c r="F88" t="s">
        <v>88</v>
      </c>
    </row>
    <row r="89" spans="1:6" x14ac:dyDescent="0.25">
      <c r="A89" t="s">
        <v>103</v>
      </c>
      <c r="B89" t="s">
        <v>8</v>
      </c>
      <c r="C89">
        <v>2</v>
      </c>
      <c r="D89" s="1">
        <v>42570.37</v>
      </c>
      <c r="E89" s="1">
        <v>60300</v>
      </c>
      <c r="F89" t="s">
        <v>88</v>
      </c>
    </row>
    <row r="90" spans="1:6" x14ac:dyDescent="0.25">
      <c r="A90" t="s">
        <v>109</v>
      </c>
      <c r="B90" t="s">
        <v>8</v>
      </c>
      <c r="C90">
        <v>2</v>
      </c>
      <c r="D90" s="1">
        <v>41506.19</v>
      </c>
      <c r="E90" s="1">
        <v>57700</v>
      </c>
      <c r="F90" t="s">
        <v>88</v>
      </c>
    </row>
    <row r="91" spans="1:6" x14ac:dyDescent="0.25">
      <c r="A91" t="s">
        <v>117</v>
      </c>
      <c r="B91" t="s">
        <v>8</v>
      </c>
      <c r="C91">
        <v>2</v>
      </c>
      <c r="D91" s="1">
        <v>32198.69</v>
      </c>
      <c r="E91" s="1">
        <v>43400</v>
      </c>
      <c r="F91" t="s">
        <v>231</v>
      </c>
    </row>
    <row r="92" spans="1:6" x14ac:dyDescent="0.25">
      <c r="A92" t="s">
        <v>84</v>
      </c>
      <c r="B92" t="s">
        <v>23</v>
      </c>
      <c r="C92">
        <v>1</v>
      </c>
      <c r="D92" s="1">
        <v>31310.09</v>
      </c>
      <c r="E92" s="1">
        <v>77000</v>
      </c>
      <c r="F92" t="s">
        <v>45</v>
      </c>
    </row>
    <row r="93" spans="1:6" x14ac:dyDescent="0.25">
      <c r="A93" t="s">
        <v>118</v>
      </c>
      <c r="B93" t="s">
        <v>13</v>
      </c>
      <c r="C93">
        <v>2</v>
      </c>
      <c r="D93" s="1">
        <v>29586.15</v>
      </c>
      <c r="E93" s="1">
        <v>43300</v>
      </c>
      <c r="F93" t="s">
        <v>231</v>
      </c>
    </row>
    <row r="94" spans="1:6" x14ac:dyDescent="0.25">
      <c r="A94" t="s">
        <v>121</v>
      </c>
      <c r="B94" t="s">
        <v>8</v>
      </c>
      <c r="C94">
        <v>2</v>
      </c>
      <c r="D94" s="1">
        <v>29230.43</v>
      </c>
      <c r="E94" s="1">
        <v>39800</v>
      </c>
      <c r="F94" t="s">
        <v>231</v>
      </c>
    </row>
    <row r="95" spans="1:6" x14ac:dyDescent="0.25">
      <c r="A95" t="s">
        <v>123</v>
      </c>
      <c r="B95" t="s">
        <v>80</v>
      </c>
      <c r="C95">
        <v>4</v>
      </c>
      <c r="D95" s="1">
        <v>29217.18</v>
      </c>
      <c r="E95" s="1">
        <v>23500</v>
      </c>
      <c r="F95" t="s">
        <v>231</v>
      </c>
    </row>
    <row r="96" spans="1:6" x14ac:dyDescent="0.25">
      <c r="A96" t="s">
        <v>122</v>
      </c>
      <c r="B96" t="s">
        <v>19</v>
      </c>
      <c r="C96">
        <v>2</v>
      </c>
      <c r="D96" s="1">
        <v>25358.32</v>
      </c>
      <c r="E96" s="1">
        <v>34800</v>
      </c>
      <c r="F96" t="s">
        <v>231</v>
      </c>
    </row>
    <row r="97" spans="1:6" x14ac:dyDescent="0.25">
      <c r="A97" t="s">
        <v>125</v>
      </c>
      <c r="B97" t="s">
        <v>15</v>
      </c>
      <c r="C97">
        <v>3</v>
      </c>
      <c r="D97" s="1">
        <v>22314.36</v>
      </c>
      <c r="E97" s="1">
        <v>21000</v>
      </c>
      <c r="F97" t="s">
        <v>231</v>
      </c>
    </row>
    <row r="98" spans="1:6" x14ac:dyDescent="0.25">
      <c r="A98" t="s">
        <v>124</v>
      </c>
      <c r="B98" t="s">
        <v>8</v>
      </c>
      <c r="C98">
        <v>3</v>
      </c>
      <c r="D98" s="1">
        <v>21554.26</v>
      </c>
      <c r="E98" s="1">
        <v>23000</v>
      </c>
      <c r="F98" t="s">
        <v>231</v>
      </c>
    </row>
    <row r="99" spans="1:6" x14ac:dyDescent="0.25">
      <c r="A99" t="s">
        <v>126</v>
      </c>
      <c r="B99" t="s">
        <v>8</v>
      </c>
      <c r="C99">
        <v>2</v>
      </c>
      <c r="D99" s="1">
        <v>7918.6</v>
      </c>
      <c r="E99" s="1">
        <v>11000</v>
      </c>
      <c r="F99" t="s">
        <v>231</v>
      </c>
    </row>
  </sheetData>
  <conditionalFormatting sqref="F1:F1048576">
    <cfRule type="cellIs" dxfId="5" priority="3" operator="equal">
      <formula>"less than 50k"</formula>
    </cfRule>
    <cfRule type="cellIs" dxfId="9" priority="4" operator="equal">
      <formula>"50k - 75k"</formula>
    </cfRule>
    <cfRule type="cellIs" dxfId="8" priority="5" operator="equal">
      <formula>"75k - 100k"</formula>
    </cfRule>
    <cfRule type="cellIs" dxfId="7" priority="6" operator="equal">
      <formula>"100k - 125k"</formula>
    </cfRule>
    <cfRule type="cellIs" dxfId="6" priority="7" operator="equal">
      <formula>"greater than 125k"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5166-95B3-4B36-A38E-A1D21F26F429}">
  <dimension ref="B2:K102"/>
  <sheetViews>
    <sheetView showGridLines="0" workbookViewId="0">
      <selection activeCell="F18" sqref="F18"/>
    </sheetView>
  </sheetViews>
  <sheetFormatPr defaultRowHeight="15" x14ac:dyDescent="0.25"/>
  <cols>
    <col min="2" max="2" width="13.42578125" bestFit="1" customWidth="1"/>
    <col min="3" max="3" width="20.42578125" bestFit="1" customWidth="1"/>
    <col min="4" max="4" width="6" bestFit="1" customWidth="1"/>
    <col min="5" max="5" width="16.140625" bestFit="1" customWidth="1"/>
    <col min="6" max="6" width="23.85546875" bestFit="1" customWidth="1"/>
    <col min="7" max="7" width="6.28515625" customWidth="1"/>
    <col min="8" max="8" width="32" bestFit="1" customWidth="1"/>
    <col min="9" max="9" width="17.42578125" bestFit="1" customWidth="1"/>
    <col min="10" max="10" width="20.42578125" bestFit="1" customWidth="1"/>
    <col min="11" max="11" width="24.140625" bestFit="1" customWidth="1"/>
    <col min="12" max="12" width="12" bestFit="1" customWidth="1"/>
    <col min="13" max="13" width="11.28515625" customWidth="1"/>
    <col min="14" max="323" width="6" bestFit="1" customWidth="1"/>
    <col min="324" max="324" width="16.5703125" bestFit="1" customWidth="1"/>
    <col min="325" max="325" width="11.5703125" bestFit="1" customWidth="1"/>
    <col min="326" max="326" width="10.5703125" bestFit="1" customWidth="1"/>
    <col min="327" max="335" width="11.5703125" bestFit="1" customWidth="1"/>
    <col min="336" max="336" width="10.5703125" bestFit="1" customWidth="1"/>
    <col min="337" max="339" width="11.5703125" bestFit="1" customWidth="1"/>
    <col min="340" max="340" width="10.5703125" bestFit="1" customWidth="1"/>
    <col min="341" max="341" width="11.5703125" bestFit="1" customWidth="1"/>
    <col min="342" max="342" width="10.5703125" bestFit="1" customWidth="1"/>
    <col min="343" max="348" width="11.5703125" bestFit="1" customWidth="1"/>
    <col min="349" max="349" width="10.5703125" bestFit="1" customWidth="1"/>
    <col min="350" max="353" width="11.5703125" bestFit="1" customWidth="1"/>
    <col min="354" max="354" width="10.5703125" bestFit="1" customWidth="1"/>
    <col min="355" max="355" width="11.5703125" bestFit="1" customWidth="1"/>
    <col min="356" max="356" width="10.5703125" bestFit="1" customWidth="1"/>
    <col min="357" max="367" width="11.5703125" bestFit="1" customWidth="1"/>
    <col min="368" max="368" width="10.5703125" bestFit="1" customWidth="1"/>
    <col min="369" max="369" width="11.5703125" bestFit="1" customWidth="1"/>
    <col min="370" max="370" width="10.5703125" bestFit="1" customWidth="1"/>
    <col min="371" max="375" width="11.5703125" bestFit="1" customWidth="1"/>
    <col min="376" max="376" width="10.5703125" bestFit="1" customWidth="1"/>
    <col min="377" max="377" width="11.5703125" bestFit="1" customWidth="1"/>
    <col min="378" max="378" width="10.5703125" bestFit="1" customWidth="1"/>
    <col min="379" max="379" width="11.5703125" bestFit="1" customWidth="1"/>
    <col min="380" max="380" width="10.5703125" bestFit="1" customWidth="1"/>
    <col min="381" max="381" width="11.5703125" bestFit="1" customWidth="1"/>
    <col min="382" max="382" width="10.5703125" bestFit="1" customWidth="1"/>
    <col min="383" max="389" width="11.5703125" bestFit="1" customWidth="1"/>
    <col min="390" max="390" width="10.5703125" bestFit="1" customWidth="1"/>
    <col min="391" max="412" width="11.5703125" bestFit="1" customWidth="1"/>
    <col min="413" max="413" width="10.5703125" bestFit="1" customWidth="1"/>
    <col min="414" max="422" width="11.5703125" bestFit="1" customWidth="1"/>
    <col min="423" max="423" width="10.5703125" bestFit="1" customWidth="1"/>
    <col min="424" max="436" width="11.5703125" bestFit="1" customWidth="1"/>
    <col min="437" max="437" width="10.5703125" bestFit="1" customWidth="1"/>
    <col min="438" max="439" width="11.5703125" bestFit="1" customWidth="1"/>
    <col min="440" max="440" width="10.5703125" bestFit="1" customWidth="1"/>
    <col min="441" max="441" width="11.5703125" bestFit="1" customWidth="1"/>
    <col min="442" max="442" width="10.5703125" bestFit="1" customWidth="1"/>
    <col min="443" max="456" width="11.5703125" bestFit="1" customWidth="1"/>
    <col min="457" max="457" width="10.5703125" bestFit="1" customWidth="1"/>
    <col min="458" max="459" width="11.5703125" bestFit="1" customWidth="1"/>
    <col min="460" max="460" width="10.5703125" bestFit="1" customWidth="1"/>
    <col min="461" max="465" width="11.5703125" bestFit="1" customWidth="1"/>
    <col min="466" max="467" width="10.5703125" bestFit="1" customWidth="1"/>
    <col min="468" max="478" width="11.5703125" bestFit="1" customWidth="1"/>
    <col min="479" max="480" width="10.5703125" bestFit="1" customWidth="1"/>
    <col min="481" max="488" width="11.5703125" bestFit="1" customWidth="1"/>
    <col min="489" max="489" width="10.5703125" bestFit="1" customWidth="1"/>
    <col min="490" max="492" width="11.5703125" bestFit="1" customWidth="1"/>
    <col min="493" max="493" width="10.5703125" bestFit="1" customWidth="1"/>
    <col min="494" max="500" width="11.5703125" bestFit="1" customWidth="1"/>
    <col min="501" max="501" width="10.5703125" bestFit="1" customWidth="1"/>
    <col min="502" max="509" width="11.5703125" bestFit="1" customWidth="1"/>
    <col min="510" max="510" width="10.5703125" bestFit="1" customWidth="1"/>
    <col min="511" max="513" width="11.5703125" bestFit="1" customWidth="1"/>
    <col min="514" max="514" width="10.5703125" bestFit="1" customWidth="1"/>
    <col min="515" max="517" width="11.5703125" bestFit="1" customWidth="1"/>
    <col min="518" max="518" width="10.5703125" bestFit="1" customWidth="1"/>
    <col min="519" max="521" width="11.5703125" bestFit="1" customWidth="1"/>
    <col min="522" max="522" width="10.5703125" bestFit="1" customWidth="1"/>
    <col min="523" max="526" width="11.5703125" bestFit="1" customWidth="1"/>
    <col min="527" max="527" width="10.5703125" bestFit="1" customWidth="1"/>
    <col min="528" max="540" width="11.5703125" bestFit="1" customWidth="1"/>
    <col min="541" max="541" width="10.5703125" bestFit="1" customWidth="1"/>
    <col min="542" max="546" width="11.5703125" bestFit="1" customWidth="1"/>
    <col min="547" max="547" width="10.5703125" bestFit="1" customWidth="1"/>
    <col min="548" max="558" width="11.5703125" bestFit="1" customWidth="1"/>
    <col min="559" max="559" width="10.5703125" bestFit="1" customWidth="1"/>
    <col min="560" max="568" width="11.5703125" bestFit="1" customWidth="1"/>
    <col min="569" max="569" width="10.5703125" bestFit="1" customWidth="1"/>
    <col min="570" max="575" width="11.5703125" bestFit="1" customWidth="1"/>
    <col min="576" max="576" width="10.5703125" bestFit="1" customWidth="1"/>
    <col min="577" max="587" width="11.5703125" bestFit="1" customWidth="1"/>
    <col min="588" max="589" width="10.5703125" bestFit="1" customWidth="1"/>
    <col min="590" max="599" width="11.5703125" bestFit="1" customWidth="1"/>
    <col min="600" max="600" width="10.5703125" bestFit="1" customWidth="1"/>
    <col min="601" max="608" width="11.5703125" bestFit="1" customWidth="1"/>
    <col min="609" max="609" width="10.5703125" bestFit="1" customWidth="1"/>
    <col min="610" max="610" width="11.5703125" bestFit="1" customWidth="1"/>
    <col min="611" max="611" width="10.5703125" bestFit="1" customWidth="1"/>
    <col min="612" max="615" width="11.5703125" bestFit="1" customWidth="1"/>
    <col min="616" max="616" width="10.5703125" bestFit="1" customWidth="1"/>
    <col min="617" max="631" width="11.5703125" bestFit="1" customWidth="1"/>
    <col min="632" max="632" width="9" bestFit="1" customWidth="1"/>
    <col min="633" max="633" width="10.5703125" bestFit="1" customWidth="1"/>
    <col min="634" max="644" width="11.5703125" bestFit="1" customWidth="1"/>
    <col min="645" max="647" width="10.5703125" bestFit="1" customWidth="1"/>
    <col min="648" max="649" width="11.5703125" bestFit="1" customWidth="1"/>
    <col min="650" max="650" width="25" bestFit="1" customWidth="1"/>
    <col min="651" max="651" width="21.7109375" bestFit="1" customWidth="1"/>
  </cols>
  <sheetData>
    <row r="2" spans="2:11" ht="33.75" customHeight="1" x14ac:dyDescent="0.25">
      <c r="B2" s="6" t="s">
        <v>234</v>
      </c>
      <c r="C2" s="6"/>
      <c r="E2" s="6" t="s">
        <v>242</v>
      </c>
      <c r="F2" s="6"/>
      <c r="H2" s="6" t="s">
        <v>235</v>
      </c>
      <c r="I2" s="6"/>
      <c r="J2" s="6"/>
      <c r="K2" s="6"/>
    </row>
    <row r="3" spans="2:11" x14ac:dyDescent="0.25">
      <c r="K3" s="5"/>
    </row>
    <row r="4" spans="2:11" x14ac:dyDescent="0.25">
      <c r="B4" s="2" t="s">
        <v>229</v>
      </c>
      <c r="C4" t="s">
        <v>232</v>
      </c>
      <c r="E4" s="2" t="s">
        <v>229</v>
      </c>
      <c r="F4" t="s">
        <v>232</v>
      </c>
      <c r="H4" s="2" t="s">
        <v>229</v>
      </c>
      <c r="I4" t="s">
        <v>230</v>
      </c>
      <c r="J4" t="s">
        <v>232</v>
      </c>
      <c r="K4" t="s">
        <v>233</v>
      </c>
    </row>
    <row r="5" spans="2:11" x14ac:dyDescent="0.25">
      <c r="B5" s="3" t="s">
        <v>108</v>
      </c>
      <c r="C5" s="4">
        <v>45480.79</v>
      </c>
      <c r="E5" s="3" t="s">
        <v>6</v>
      </c>
      <c r="F5" s="4">
        <v>1847618.8399999999</v>
      </c>
      <c r="H5" s="3" t="s">
        <v>127</v>
      </c>
      <c r="I5" s="4">
        <v>1200</v>
      </c>
      <c r="J5" s="4">
        <v>62361.22</v>
      </c>
      <c r="K5" s="7">
        <v>51.967683333333333</v>
      </c>
    </row>
    <row r="6" spans="2:11" x14ac:dyDescent="0.25">
      <c r="B6" s="3" t="s">
        <v>94</v>
      </c>
      <c r="C6" s="4">
        <v>49898.270000000004</v>
      </c>
      <c r="E6" s="3" t="s">
        <v>16</v>
      </c>
      <c r="F6" s="4">
        <v>2399571.3099999996</v>
      </c>
      <c r="H6" s="3" t="s">
        <v>4</v>
      </c>
      <c r="I6" s="4">
        <v>227600</v>
      </c>
      <c r="J6" s="4">
        <v>820689.54</v>
      </c>
      <c r="K6" s="7">
        <v>3.6058415641476276</v>
      </c>
    </row>
    <row r="7" spans="2:11" x14ac:dyDescent="0.25">
      <c r="B7" s="3" t="s">
        <v>76</v>
      </c>
      <c r="C7" s="4">
        <v>87468.3</v>
      </c>
      <c r="E7" s="3" t="s">
        <v>45</v>
      </c>
      <c r="F7" s="4">
        <v>3281983.5400000005</v>
      </c>
      <c r="H7" s="3" t="s">
        <v>7</v>
      </c>
      <c r="I7" s="4">
        <v>210500</v>
      </c>
      <c r="J7" s="4">
        <v>591827.34</v>
      </c>
      <c r="K7" s="7">
        <v>2.8115313064133014</v>
      </c>
    </row>
    <row r="8" spans="2:11" x14ac:dyDescent="0.25">
      <c r="B8" s="3" t="s">
        <v>80</v>
      </c>
      <c r="C8" s="4">
        <v>100068.76</v>
      </c>
      <c r="E8" s="3" t="s">
        <v>88</v>
      </c>
      <c r="F8" s="4">
        <v>1479125.4000000004</v>
      </c>
      <c r="H8" s="3" t="s">
        <v>120</v>
      </c>
      <c r="I8" s="4">
        <v>41900</v>
      </c>
      <c r="J8" s="4">
        <v>84340.32</v>
      </c>
      <c r="K8" s="7">
        <v>2.0128954653937949</v>
      </c>
    </row>
    <row r="9" spans="2:11" x14ac:dyDescent="0.25">
      <c r="B9" s="3" t="s">
        <v>74</v>
      </c>
      <c r="C9" s="4">
        <v>104224.79000000001</v>
      </c>
      <c r="E9" s="3" t="s">
        <v>231</v>
      </c>
      <c r="F9" s="4">
        <v>595891.52</v>
      </c>
      <c r="H9" s="3" t="s">
        <v>90</v>
      </c>
      <c r="I9" s="4">
        <v>71700</v>
      </c>
      <c r="J9" s="4">
        <v>137480.07</v>
      </c>
      <c r="K9" s="7">
        <v>1.9174347280334729</v>
      </c>
    </row>
    <row r="10" spans="2:11" x14ac:dyDescent="0.25">
      <c r="B10" s="3" t="s">
        <v>10</v>
      </c>
      <c r="C10" s="4">
        <v>108777.92</v>
      </c>
      <c r="H10" s="3" t="s">
        <v>119</v>
      </c>
      <c r="I10" s="4">
        <v>43000</v>
      </c>
      <c r="J10" s="4">
        <v>81806.55</v>
      </c>
      <c r="K10" s="7">
        <v>1.9024779069767443</v>
      </c>
    </row>
    <row r="11" spans="2:11" ht="15" customHeight="1" x14ac:dyDescent="0.25">
      <c r="B11" s="3" t="s">
        <v>48</v>
      </c>
      <c r="C11" s="4">
        <v>166621.51</v>
      </c>
      <c r="E11" s="8"/>
      <c r="F11" s="8"/>
      <c r="H11" s="3" t="s">
        <v>83</v>
      </c>
      <c r="I11" s="4">
        <v>77600</v>
      </c>
      <c r="J11" s="4">
        <v>143536.26999999999</v>
      </c>
      <c r="K11" s="7">
        <v>1.8496942010309276</v>
      </c>
    </row>
    <row r="12" spans="2:11" ht="15" customHeight="1" x14ac:dyDescent="0.25">
      <c r="B12" s="3" t="s">
        <v>55</v>
      </c>
      <c r="C12" s="4">
        <v>167909.95</v>
      </c>
      <c r="E12" s="6" t="s">
        <v>243</v>
      </c>
      <c r="F12" s="6"/>
      <c r="H12" s="3" t="s">
        <v>64</v>
      </c>
      <c r="I12" s="4">
        <v>88000</v>
      </c>
      <c r="J12" s="4">
        <v>154622.07999999999</v>
      </c>
      <c r="K12" s="7">
        <v>1.7570690909090907</v>
      </c>
    </row>
    <row r="13" spans="2:11" ht="15" customHeight="1" x14ac:dyDescent="0.25">
      <c r="B13" s="3" t="s">
        <v>29</v>
      </c>
      <c r="C13" s="4">
        <v>187638.35</v>
      </c>
      <c r="E13" s="6"/>
      <c r="F13" s="6"/>
      <c r="H13" s="3" t="s">
        <v>77</v>
      </c>
      <c r="I13" s="4">
        <v>81100</v>
      </c>
      <c r="J13" s="4">
        <v>126983.19</v>
      </c>
      <c r="K13" s="7">
        <v>1.5657606658446364</v>
      </c>
    </row>
    <row r="14" spans="2:11" x14ac:dyDescent="0.25">
      <c r="B14" s="3" t="s">
        <v>91</v>
      </c>
      <c r="C14" s="4">
        <v>188540.06000000003</v>
      </c>
      <c r="H14" s="3" t="s">
        <v>71</v>
      </c>
      <c r="I14" s="4">
        <v>83400</v>
      </c>
      <c r="J14" s="4">
        <v>129085.12</v>
      </c>
      <c r="K14" s="7">
        <v>1.5477832134292566</v>
      </c>
    </row>
    <row r="15" spans="2:11" x14ac:dyDescent="0.25">
      <c r="B15" s="3" t="s">
        <v>23</v>
      </c>
      <c r="C15" s="4">
        <v>196470.99000000002</v>
      </c>
      <c r="E15" s="2" t="s">
        <v>229</v>
      </c>
      <c r="F15" t="s">
        <v>237</v>
      </c>
      <c r="H15" s="3" t="s">
        <v>26</v>
      </c>
      <c r="I15" s="4">
        <v>117300</v>
      </c>
      <c r="J15" s="4">
        <v>180585.07</v>
      </c>
      <c r="K15" s="7">
        <v>1.539514663256607</v>
      </c>
    </row>
    <row r="16" spans="2:11" x14ac:dyDescent="0.25">
      <c r="B16" s="3" t="s">
        <v>62</v>
      </c>
      <c r="C16" s="4">
        <v>205911.86</v>
      </c>
      <c r="E16" s="3" t="s">
        <v>6</v>
      </c>
      <c r="F16" s="4">
        <v>35531.131538461537</v>
      </c>
      <c r="H16" s="3" t="s">
        <v>39</v>
      </c>
      <c r="I16" s="4">
        <v>103800</v>
      </c>
      <c r="J16" s="4">
        <v>156251.03</v>
      </c>
      <c r="K16" s="7">
        <v>1.5053085741811176</v>
      </c>
    </row>
    <row r="17" spans="2:11" x14ac:dyDescent="0.25">
      <c r="B17" s="3" t="s">
        <v>21</v>
      </c>
      <c r="C17" s="4">
        <v>218994.91999999998</v>
      </c>
      <c r="E17" s="3" t="s">
        <v>16</v>
      </c>
      <c r="F17" s="4">
        <v>37493.301718749994</v>
      </c>
      <c r="H17" s="3" t="s">
        <v>57</v>
      </c>
      <c r="I17" s="4">
        <v>93300</v>
      </c>
      <c r="J17" s="4">
        <v>133907.12</v>
      </c>
      <c r="K17" s="7">
        <v>1.4352317256162914</v>
      </c>
    </row>
    <row r="18" spans="2:11" x14ac:dyDescent="0.25">
      <c r="B18" s="3" t="s">
        <v>40</v>
      </c>
      <c r="C18" s="4">
        <v>263997.78000000003</v>
      </c>
      <c r="E18" s="3" t="s">
        <v>45</v>
      </c>
      <c r="F18" s="4">
        <v>30109.940733944957</v>
      </c>
      <c r="H18" s="3" t="s">
        <v>115</v>
      </c>
      <c r="I18" s="4">
        <v>48700</v>
      </c>
      <c r="J18" s="4">
        <v>68977.67</v>
      </c>
      <c r="K18" s="7">
        <v>1.4163792607802874</v>
      </c>
    </row>
    <row r="19" spans="2:11" x14ac:dyDescent="0.25">
      <c r="B19" s="3" t="s">
        <v>44</v>
      </c>
      <c r="C19" s="4">
        <v>295149.35000000003</v>
      </c>
      <c r="E19" s="3" t="s">
        <v>88</v>
      </c>
      <c r="F19" s="4">
        <v>23111.334375000006</v>
      </c>
      <c r="H19" s="3" t="s">
        <v>111</v>
      </c>
      <c r="I19" s="4">
        <v>53800</v>
      </c>
      <c r="J19" s="4">
        <v>75859.320000000007</v>
      </c>
      <c r="K19" s="7">
        <v>1.4100245353159853</v>
      </c>
    </row>
    <row r="20" spans="2:11" x14ac:dyDescent="0.25">
      <c r="B20" s="3" t="s">
        <v>19</v>
      </c>
      <c r="C20" s="4">
        <v>360616.80999999994</v>
      </c>
      <c r="E20" s="3" t="s">
        <v>231</v>
      </c>
      <c r="F20" s="4">
        <v>16105.176216216216</v>
      </c>
      <c r="H20" s="3" t="s">
        <v>25</v>
      </c>
      <c r="I20" s="4">
        <v>118200</v>
      </c>
      <c r="J20" s="4">
        <v>158573.12</v>
      </c>
      <c r="K20" s="7">
        <v>1.3415661590524535</v>
      </c>
    </row>
    <row r="21" spans="2:11" x14ac:dyDescent="0.25">
      <c r="B21" s="3" t="s">
        <v>13</v>
      </c>
      <c r="C21" s="4">
        <v>436947.44000000006</v>
      </c>
      <c r="H21" s="3" t="s">
        <v>30</v>
      </c>
      <c r="I21" s="4">
        <v>114900</v>
      </c>
      <c r="J21" s="4">
        <v>149085.15</v>
      </c>
      <c r="K21" s="7">
        <v>1.2975208877284594</v>
      </c>
    </row>
    <row r="22" spans="2:11" x14ac:dyDescent="0.25">
      <c r="B22" s="3" t="s">
        <v>34</v>
      </c>
      <c r="C22" s="4">
        <v>476847.00999999989</v>
      </c>
      <c r="H22" s="3" t="s">
        <v>11</v>
      </c>
      <c r="I22" s="4">
        <v>138500</v>
      </c>
      <c r="J22" s="4">
        <v>177913.95</v>
      </c>
      <c r="K22" s="7">
        <v>1.2845772563176896</v>
      </c>
    </row>
    <row r="23" spans="2:11" x14ac:dyDescent="0.25">
      <c r="B23" s="3" t="s">
        <v>27</v>
      </c>
      <c r="C23" s="4">
        <v>562582.59000000008</v>
      </c>
      <c r="H23" s="3" t="s">
        <v>73</v>
      </c>
      <c r="I23" s="4">
        <v>81700</v>
      </c>
      <c r="J23" s="4">
        <v>104224.79</v>
      </c>
      <c r="K23" s="7">
        <v>1.2757012239902079</v>
      </c>
    </row>
    <row r="24" spans="2:11" x14ac:dyDescent="0.25">
      <c r="B24" s="3" t="s">
        <v>15</v>
      </c>
      <c r="C24" s="4">
        <v>1007374.0200000001</v>
      </c>
      <c r="H24" s="3" t="s">
        <v>105</v>
      </c>
      <c r="I24" s="4">
        <v>59700</v>
      </c>
      <c r="J24" s="4">
        <v>75937.759999999995</v>
      </c>
      <c r="K24" s="7">
        <v>1.2719892797319932</v>
      </c>
    </row>
    <row r="25" spans="2:11" x14ac:dyDescent="0.25">
      <c r="B25" s="3" t="s">
        <v>5</v>
      </c>
      <c r="C25" s="4">
        <v>1099389.0899999999</v>
      </c>
      <c r="H25" s="3" t="s">
        <v>35</v>
      </c>
      <c r="I25" s="4">
        <v>107800</v>
      </c>
      <c r="J25" s="4">
        <v>137034.22</v>
      </c>
      <c r="K25" s="7">
        <v>1.2711894248608535</v>
      </c>
    </row>
    <row r="26" spans="2:11" x14ac:dyDescent="0.25">
      <c r="B26" s="3" t="s">
        <v>8</v>
      </c>
      <c r="C26" s="4">
        <v>3273280.0499999989</v>
      </c>
      <c r="H26" s="3" t="s">
        <v>37</v>
      </c>
      <c r="I26" s="4">
        <v>105000</v>
      </c>
      <c r="J26" s="4">
        <v>132340.78</v>
      </c>
      <c r="K26" s="7">
        <v>1.260388380952381</v>
      </c>
    </row>
    <row r="27" spans="2:11" x14ac:dyDescent="0.25">
      <c r="H27" s="3" t="s">
        <v>112</v>
      </c>
      <c r="I27" s="4">
        <v>53100</v>
      </c>
      <c r="J27" s="4">
        <v>66694.820000000007</v>
      </c>
      <c r="K27" s="7">
        <v>1.2560229755178909</v>
      </c>
    </row>
    <row r="28" spans="2:11" x14ac:dyDescent="0.25">
      <c r="H28" s="3" t="s">
        <v>33</v>
      </c>
      <c r="I28" s="4">
        <v>110000</v>
      </c>
      <c r="J28" s="4">
        <v>137460.79</v>
      </c>
      <c r="K28" s="7">
        <v>1.2496435454545456</v>
      </c>
    </row>
    <row r="29" spans="2:11" x14ac:dyDescent="0.25">
      <c r="H29" s="3" t="s">
        <v>123</v>
      </c>
      <c r="I29" s="4">
        <v>23500</v>
      </c>
      <c r="J29" s="4">
        <v>29217.18</v>
      </c>
      <c r="K29" s="7">
        <v>1.243284255319149</v>
      </c>
    </row>
    <row r="30" spans="2:11" x14ac:dyDescent="0.25">
      <c r="H30" s="3" t="s">
        <v>68</v>
      </c>
      <c r="I30" s="4">
        <v>84600</v>
      </c>
      <c r="J30" s="4">
        <v>104545.22</v>
      </c>
      <c r="K30" s="7">
        <v>1.2357591016548464</v>
      </c>
    </row>
    <row r="31" spans="2:11" x14ac:dyDescent="0.25">
      <c r="H31" s="3" t="s">
        <v>82</v>
      </c>
      <c r="I31" s="4">
        <v>77700</v>
      </c>
      <c r="J31" s="4">
        <v>94431.76</v>
      </c>
      <c r="K31" s="7">
        <v>1.2153379665379664</v>
      </c>
    </row>
    <row r="32" spans="2:11" x14ac:dyDescent="0.25">
      <c r="H32" s="3" t="s">
        <v>58</v>
      </c>
      <c r="I32" s="4">
        <v>92700</v>
      </c>
      <c r="J32" s="4">
        <v>106610.72</v>
      </c>
      <c r="K32" s="7">
        <v>1.1500617044228696</v>
      </c>
    </row>
    <row r="33" spans="8:11" x14ac:dyDescent="0.25">
      <c r="H33" s="3" t="s">
        <v>102</v>
      </c>
      <c r="I33" s="4">
        <v>60300</v>
      </c>
      <c r="J33" s="4">
        <v>68520.47</v>
      </c>
      <c r="K33" s="7">
        <v>1.1363262023217247</v>
      </c>
    </row>
    <row r="34" spans="8:11" x14ac:dyDescent="0.25">
      <c r="H34" s="3" t="s">
        <v>70</v>
      </c>
      <c r="I34" s="4">
        <v>84300</v>
      </c>
      <c r="J34" s="4">
        <v>95424.63</v>
      </c>
      <c r="K34" s="7">
        <v>1.1319647686832741</v>
      </c>
    </row>
    <row r="35" spans="8:11" x14ac:dyDescent="0.25">
      <c r="H35" s="3" t="s">
        <v>116</v>
      </c>
      <c r="I35" s="4">
        <v>45300</v>
      </c>
      <c r="J35" s="4">
        <v>51059.99</v>
      </c>
      <c r="K35" s="7">
        <v>1.1271520971302429</v>
      </c>
    </row>
    <row r="36" spans="8:11" x14ac:dyDescent="0.25">
      <c r="H36" s="3" t="s">
        <v>54</v>
      </c>
      <c r="I36" s="4">
        <v>94400</v>
      </c>
      <c r="J36" s="4">
        <v>105548.73</v>
      </c>
      <c r="K36" s="7">
        <v>1.1181009533898305</v>
      </c>
    </row>
    <row r="37" spans="8:11" x14ac:dyDescent="0.25">
      <c r="H37" s="3" t="s">
        <v>89</v>
      </c>
      <c r="I37" s="4">
        <v>71800</v>
      </c>
      <c r="J37" s="4">
        <v>80180.98</v>
      </c>
      <c r="K37" s="7">
        <v>1.1167267409470751</v>
      </c>
    </row>
    <row r="38" spans="8:11" x14ac:dyDescent="0.25">
      <c r="H38" s="3" t="s">
        <v>99</v>
      </c>
      <c r="I38" s="4">
        <v>65000</v>
      </c>
      <c r="J38" s="4">
        <v>71547.53</v>
      </c>
      <c r="K38" s="7">
        <v>1.1007312307692307</v>
      </c>
    </row>
    <row r="39" spans="8:11" x14ac:dyDescent="0.25">
      <c r="H39" s="3" t="s">
        <v>46</v>
      </c>
      <c r="I39" s="4">
        <v>97900</v>
      </c>
      <c r="J39" s="4">
        <v>107746.75</v>
      </c>
      <c r="K39" s="7">
        <v>1.1005796731358528</v>
      </c>
    </row>
    <row r="40" spans="8:11" x14ac:dyDescent="0.25">
      <c r="H40" s="3" t="s">
        <v>12</v>
      </c>
      <c r="I40" s="4">
        <v>136800</v>
      </c>
      <c r="J40" s="4">
        <v>148410.09</v>
      </c>
      <c r="K40" s="7">
        <v>1.0848690789473685</v>
      </c>
    </row>
    <row r="41" spans="8:11" x14ac:dyDescent="0.25">
      <c r="H41" s="3" t="s">
        <v>53</v>
      </c>
      <c r="I41" s="4">
        <v>94500</v>
      </c>
      <c r="J41" s="4">
        <v>101872.52</v>
      </c>
      <c r="K41" s="7">
        <v>1.0780160846560847</v>
      </c>
    </row>
    <row r="42" spans="8:11" x14ac:dyDescent="0.25">
      <c r="H42" s="3" t="s">
        <v>38</v>
      </c>
      <c r="I42" s="4">
        <v>104600</v>
      </c>
      <c r="J42" s="4">
        <v>112440.09</v>
      </c>
      <c r="K42" s="7">
        <v>1.0749530592734224</v>
      </c>
    </row>
    <row r="43" spans="8:11" x14ac:dyDescent="0.25">
      <c r="H43" s="3" t="s">
        <v>75</v>
      </c>
      <c r="I43" s="4">
        <v>81500</v>
      </c>
      <c r="J43" s="4">
        <v>87468.3</v>
      </c>
      <c r="K43" s="7">
        <v>1.0732306748466258</v>
      </c>
    </row>
    <row r="44" spans="8:11" x14ac:dyDescent="0.25">
      <c r="H44" s="3" t="s">
        <v>87</v>
      </c>
      <c r="I44" s="4">
        <v>72600</v>
      </c>
      <c r="J44" s="4">
        <v>77726.59</v>
      </c>
      <c r="K44" s="7">
        <v>1.0706141873278237</v>
      </c>
    </row>
    <row r="45" spans="8:11" x14ac:dyDescent="0.25">
      <c r="H45" s="3" t="s">
        <v>113</v>
      </c>
      <c r="I45" s="4">
        <v>51600</v>
      </c>
      <c r="J45" s="4">
        <v>55190.16</v>
      </c>
      <c r="K45" s="7">
        <v>1.0695767441860466</v>
      </c>
    </row>
    <row r="46" spans="8:11" x14ac:dyDescent="0.25">
      <c r="H46" s="3" t="s">
        <v>24</v>
      </c>
      <c r="I46" s="4">
        <v>119600</v>
      </c>
      <c r="J46" s="4">
        <v>127529.69</v>
      </c>
      <c r="K46" s="7">
        <v>1.0663017558528429</v>
      </c>
    </row>
    <row r="47" spans="8:11" x14ac:dyDescent="0.25">
      <c r="H47" s="3" t="s">
        <v>125</v>
      </c>
      <c r="I47" s="4">
        <v>21000</v>
      </c>
      <c r="J47" s="4">
        <v>22314.36</v>
      </c>
      <c r="K47" s="7">
        <v>1.0625885714285714</v>
      </c>
    </row>
    <row r="48" spans="8:11" x14ac:dyDescent="0.25">
      <c r="H48" s="3" t="s">
        <v>60</v>
      </c>
      <c r="I48" s="4">
        <v>90500</v>
      </c>
      <c r="J48" s="4">
        <v>95706.15</v>
      </c>
      <c r="K48" s="7">
        <v>1.0575265193370165</v>
      </c>
    </row>
    <row r="49" spans="8:11" x14ac:dyDescent="0.25">
      <c r="H49" s="3" t="s">
        <v>14</v>
      </c>
      <c r="I49" s="4">
        <v>123900</v>
      </c>
      <c r="J49" s="4">
        <v>130305.35</v>
      </c>
      <c r="K49" s="7">
        <v>1.0516977401129943</v>
      </c>
    </row>
    <row r="50" spans="8:11" x14ac:dyDescent="0.25">
      <c r="H50" s="3" t="s">
        <v>43</v>
      </c>
      <c r="I50" s="4">
        <v>98800</v>
      </c>
      <c r="J50" s="4">
        <v>103896.74</v>
      </c>
      <c r="K50" s="7">
        <v>1.0515864372469637</v>
      </c>
    </row>
    <row r="51" spans="8:11" x14ac:dyDescent="0.25">
      <c r="H51" s="3" t="s">
        <v>85</v>
      </c>
      <c r="I51" s="4">
        <v>77000</v>
      </c>
      <c r="J51" s="4">
        <v>80556.73</v>
      </c>
      <c r="K51" s="7">
        <v>1.0461912987012987</v>
      </c>
    </row>
    <row r="52" spans="8:11" x14ac:dyDescent="0.25">
      <c r="H52" s="3" t="s">
        <v>65</v>
      </c>
      <c r="I52" s="4">
        <v>86800</v>
      </c>
      <c r="J52" s="4">
        <v>90332.38</v>
      </c>
      <c r="K52" s="7">
        <v>1.0406956221198158</v>
      </c>
    </row>
    <row r="53" spans="8:11" x14ac:dyDescent="0.25">
      <c r="H53" s="3" t="s">
        <v>92</v>
      </c>
      <c r="I53" s="4">
        <v>70700</v>
      </c>
      <c r="J53" s="4">
        <v>73533.649999999994</v>
      </c>
      <c r="K53" s="7">
        <v>1.0400799151343705</v>
      </c>
    </row>
    <row r="54" spans="8:11" x14ac:dyDescent="0.25">
      <c r="H54" s="3" t="s">
        <v>28</v>
      </c>
      <c r="I54" s="4">
        <v>116400</v>
      </c>
      <c r="J54" s="4">
        <v>120943.53</v>
      </c>
      <c r="K54" s="7">
        <v>1.039033762886598</v>
      </c>
    </row>
    <row r="55" spans="8:11" x14ac:dyDescent="0.25">
      <c r="H55" s="3" t="s">
        <v>42</v>
      </c>
      <c r="I55" s="4">
        <v>100600</v>
      </c>
      <c r="J55" s="4">
        <v>104358.69</v>
      </c>
      <c r="K55" s="7">
        <v>1.0373627236580518</v>
      </c>
    </row>
    <row r="56" spans="8:11" x14ac:dyDescent="0.25">
      <c r="H56" s="3" t="s">
        <v>59</v>
      </c>
      <c r="I56" s="4">
        <v>90700</v>
      </c>
      <c r="J56" s="4">
        <v>93803.3</v>
      </c>
      <c r="K56" s="7">
        <v>1.0342149944873209</v>
      </c>
    </row>
    <row r="57" spans="8:11" x14ac:dyDescent="0.25">
      <c r="H57" s="3" t="s">
        <v>18</v>
      </c>
      <c r="I57" s="4">
        <v>121400</v>
      </c>
      <c r="J57" s="4">
        <v>125505.57</v>
      </c>
      <c r="K57" s="7">
        <v>1.0338185337726524</v>
      </c>
    </row>
    <row r="58" spans="8:11" x14ac:dyDescent="0.25">
      <c r="H58" s="3" t="s">
        <v>66</v>
      </c>
      <c r="I58" s="4">
        <v>85800</v>
      </c>
      <c r="J58" s="4">
        <v>88627.49</v>
      </c>
      <c r="K58" s="7">
        <v>1.032954428904429</v>
      </c>
    </row>
    <row r="59" spans="8:11" x14ac:dyDescent="0.25">
      <c r="H59" s="3" t="s">
        <v>100</v>
      </c>
      <c r="I59" s="4">
        <v>64600</v>
      </c>
      <c r="J59" s="4">
        <v>66710.559999999998</v>
      </c>
      <c r="K59" s="7">
        <v>1.0326712074303406</v>
      </c>
    </row>
    <row r="60" spans="8:11" x14ac:dyDescent="0.25">
      <c r="H60" s="3" t="s">
        <v>69</v>
      </c>
      <c r="I60" s="4">
        <v>84300</v>
      </c>
      <c r="J60" s="4">
        <v>86553.52</v>
      </c>
      <c r="K60" s="7">
        <v>1.026732147093713</v>
      </c>
    </row>
    <row r="61" spans="8:11" x14ac:dyDescent="0.25">
      <c r="H61" s="3" t="s">
        <v>97</v>
      </c>
      <c r="I61" s="4">
        <v>67500</v>
      </c>
      <c r="J61" s="4">
        <v>69214.33</v>
      </c>
      <c r="K61" s="7">
        <v>1.0253974814814815</v>
      </c>
    </row>
    <row r="62" spans="8:11" x14ac:dyDescent="0.25">
      <c r="H62" s="3" t="s">
        <v>31</v>
      </c>
      <c r="I62" s="4">
        <v>114200</v>
      </c>
      <c r="J62" s="4">
        <v>116449.29</v>
      </c>
      <c r="K62" s="7">
        <v>1.0196960595446585</v>
      </c>
    </row>
    <row r="63" spans="8:11" x14ac:dyDescent="0.25">
      <c r="H63" s="3" t="s">
        <v>47</v>
      </c>
      <c r="I63" s="4">
        <v>96800</v>
      </c>
      <c r="J63" s="4">
        <v>97562.47</v>
      </c>
      <c r="K63" s="7">
        <v>1.007876756198347</v>
      </c>
    </row>
    <row r="64" spans="8:11" x14ac:dyDescent="0.25">
      <c r="H64" s="3" t="s">
        <v>114</v>
      </c>
      <c r="I64" s="4">
        <v>49700</v>
      </c>
      <c r="J64" s="4">
        <v>49967.78</v>
      </c>
      <c r="K64" s="7">
        <v>1.0053879275653923</v>
      </c>
    </row>
    <row r="65" spans="8:11" x14ac:dyDescent="0.25">
      <c r="H65" s="3" t="s">
        <v>96</v>
      </c>
      <c r="I65" s="4">
        <v>68100</v>
      </c>
      <c r="J65" s="4">
        <v>67659.19</v>
      </c>
      <c r="K65" s="7">
        <v>0.99352701908957419</v>
      </c>
    </row>
    <row r="66" spans="8:11" x14ac:dyDescent="0.25">
      <c r="H66" s="3" t="s">
        <v>49</v>
      </c>
      <c r="I66" s="4">
        <v>96500</v>
      </c>
      <c r="J66" s="4">
        <v>95546.46</v>
      </c>
      <c r="K66" s="7">
        <v>0.99011875647668401</v>
      </c>
    </row>
    <row r="67" spans="8:11" x14ac:dyDescent="0.25">
      <c r="H67" s="3" t="s">
        <v>101</v>
      </c>
      <c r="I67" s="4">
        <v>61100</v>
      </c>
      <c r="J67" s="4">
        <v>60483.360000000001</v>
      </c>
      <c r="K67" s="7">
        <v>0.98990769230769227</v>
      </c>
    </row>
    <row r="68" spans="8:11" x14ac:dyDescent="0.25">
      <c r="H68" s="3" t="s">
        <v>86</v>
      </c>
      <c r="I68" s="4">
        <v>76400</v>
      </c>
      <c r="J68" s="4">
        <v>72497.64</v>
      </c>
      <c r="K68" s="7">
        <v>0.94892198952879581</v>
      </c>
    </row>
    <row r="69" spans="8:11" x14ac:dyDescent="0.25">
      <c r="H69" s="3" t="s">
        <v>124</v>
      </c>
      <c r="I69" s="4">
        <v>23000</v>
      </c>
      <c r="J69" s="4">
        <v>21554.26</v>
      </c>
      <c r="K69" s="7">
        <v>0.93714173913043475</v>
      </c>
    </row>
    <row r="70" spans="8:11" x14ac:dyDescent="0.25">
      <c r="H70" s="3" t="s">
        <v>104</v>
      </c>
      <c r="I70" s="4">
        <v>60300</v>
      </c>
      <c r="J70" s="4">
        <v>55866.02</v>
      </c>
      <c r="K70" s="7">
        <v>0.92646799336650076</v>
      </c>
    </row>
    <row r="71" spans="8:11" x14ac:dyDescent="0.25">
      <c r="H71" s="3" t="s">
        <v>52</v>
      </c>
      <c r="I71" s="4">
        <v>95000</v>
      </c>
      <c r="J71" s="4">
        <v>86436.97</v>
      </c>
      <c r="K71" s="7">
        <v>0.90986284210526314</v>
      </c>
    </row>
    <row r="72" spans="8:11" x14ac:dyDescent="0.25">
      <c r="H72" s="3" t="s">
        <v>79</v>
      </c>
      <c r="I72" s="4">
        <v>79900</v>
      </c>
      <c r="J72" s="4">
        <v>70851.58</v>
      </c>
      <c r="K72" s="7">
        <v>0.88675319148936171</v>
      </c>
    </row>
    <row r="73" spans="8:11" x14ac:dyDescent="0.25">
      <c r="H73" s="3" t="s">
        <v>95</v>
      </c>
      <c r="I73" s="4">
        <v>68700</v>
      </c>
      <c r="J73" s="4">
        <v>55577.26</v>
      </c>
      <c r="K73" s="7">
        <v>0.80898486171761286</v>
      </c>
    </row>
    <row r="74" spans="8:11" x14ac:dyDescent="0.25">
      <c r="H74" s="3" t="s">
        <v>110</v>
      </c>
      <c r="I74" s="4">
        <v>55400</v>
      </c>
      <c r="J74" s="4">
        <v>43748.72</v>
      </c>
      <c r="K74" s="7">
        <v>0.78968808664259926</v>
      </c>
    </row>
    <row r="75" spans="8:11" x14ac:dyDescent="0.25">
      <c r="H75" s="3" t="s">
        <v>106</v>
      </c>
      <c r="I75" s="4">
        <v>59600</v>
      </c>
      <c r="J75" s="4">
        <v>46751.14</v>
      </c>
      <c r="K75" s="7">
        <v>0.78441510067114095</v>
      </c>
    </row>
    <row r="76" spans="8:11" x14ac:dyDescent="0.25">
      <c r="H76" s="3" t="s">
        <v>61</v>
      </c>
      <c r="I76" s="4">
        <v>90300</v>
      </c>
      <c r="J76" s="4">
        <v>70122.19</v>
      </c>
      <c r="K76" s="7">
        <v>0.77654695459579182</v>
      </c>
    </row>
    <row r="77" spans="8:11" x14ac:dyDescent="0.25">
      <c r="H77" s="3" t="s">
        <v>107</v>
      </c>
      <c r="I77" s="4">
        <v>58600</v>
      </c>
      <c r="J77" s="4">
        <v>45480.79</v>
      </c>
      <c r="K77" s="7">
        <v>0.77612269624573382</v>
      </c>
    </row>
    <row r="78" spans="8:11" x14ac:dyDescent="0.25">
      <c r="H78" s="3" t="s">
        <v>98</v>
      </c>
      <c r="I78" s="4">
        <v>65700</v>
      </c>
      <c r="J78" s="4">
        <v>50987.85</v>
      </c>
      <c r="K78" s="7">
        <v>0.77607077625570775</v>
      </c>
    </row>
    <row r="79" spans="8:11" x14ac:dyDescent="0.25">
      <c r="H79" s="3" t="s">
        <v>67</v>
      </c>
      <c r="I79" s="4">
        <v>85100</v>
      </c>
      <c r="J79" s="4">
        <v>65541.740000000005</v>
      </c>
      <c r="K79" s="7">
        <v>0.77017320799059941</v>
      </c>
    </row>
    <row r="80" spans="8:11" x14ac:dyDescent="0.25">
      <c r="H80" s="3" t="s">
        <v>9</v>
      </c>
      <c r="I80" s="4">
        <v>141300</v>
      </c>
      <c r="J80" s="4">
        <v>108777.92</v>
      </c>
      <c r="K80" s="7">
        <v>0.76983665958952585</v>
      </c>
    </row>
    <row r="81" spans="8:11" x14ac:dyDescent="0.25">
      <c r="H81" s="3" t="s">
        <v>36</v>
      </c>
      <c r="I81" s="4">
        <v>105000</v>
      </c>
      <c r="J81" s="4">
        <v>80375.240000000005</v>
      </c>
      <c r="K81" s="7">
        <v>0.76547847619047626</v>
      </c>
    </row>
    <row r="82" spans="8:11" x14ac:dyDescent="0.25">
      <c r="H82" s="3" t="s">
        <v>56</v>
      </c>
      <c r="I82" s="4">
        <v>93900</v>
      </c>
      <c r="J82" s="4">
        <v>71783.75</v>
      </c>
      <c r="K82" s="7">
        <v>0.76447018104366349</v>
      </c>
    </row>
    <row r="83" spans="8:11" x14ac:dyDescent="0.25">
      <c r="H83" s="3" t="s">
        <v>41</v>
      </c>
      <c r="I83" s="4">
        <v>102700</v>
      </c>
      <c r="J83" s="4">
        <v>78432.160000000003</v>
      </c>
      <c r="K83" s="7">
        <v>0.76370165530671863</v>
      </c>
    </row>
    <row r="84" spans="8:11" x14ac:dyDescent="0.25">
      <c r="H84" s="3" t="s">
        <v>81</v>
      </c>
      <c r="I84" s="4">
        <v>77900</v>
      </c>
      <c r="J84" s="4">
        <v>58876.41</v>
      </c>
      <c r="K84" s="7">
        <v>0.7557947368421053</v>
      </c>
    </row>
    <row r="85" spans="8:11" x14ac:dyDescent="0.25">
      <c r="H85" s="3" t="s">
        <v>63</v>
      </c>
      <c r="I85" s="4">
        <v>89600</v>
      </c>
      <c r="J85" s="4">
        <v>66812</v>
      </c>
      <c r="K85" s="7">
        <v>0.74566964285714288</v>
      </c>
    </row>
    <row r="86" spans="8:11" x14ac:dyDescent="0.25">
      <c r="H86" s="3" t="s">
        <v>72</v>
      </c>
      <c r="I86" s="4">
        <v>82900</v>
      </c>
      <c r="J86" s="4">
        <v>61781.7</v>
      </c>
      <c r="K86" s="7">
        <v>0.7452557297949336</v>
      </c>
    </row>
    <row r="87" spans="8:11" x14ac:dyDescent="0.25">
      <c r="H87" s="3" t="s">
        <v>20</v>
      </c>
      <c r="I87" s="4">
        <v>120800</v>
      </c>
      <c r="J87" s="4">
        <v>89909.8</v>
      </c>
      <c r="K87" s="7">
        <v>0.74428642384105959</v>
      </c>
    </row>
    <row r="88" spans="8:11" x14ac:dyDescent="0.25">
      <c r="H88" s="3" t="s">
        <v>117</v>
      </c>
      <c r="I88" s="4">
        <v>43400</v>
      </c>
      <c r="J88" s="4">
        <v>32198.69</v>
      </c>
      <c r="K88" s="7">
        <v>0.7419052995391705</v>
      </c>
    </row>
    <row r="89" spans="8:11" x14ac:dyDescent="0.25">
      <c r="H89" s="3" t="s">
        <v>22</v>
      </c>
      <c r="I89" s="4">
        <v>120400</v>
      </c>
      <c r="J89" s="4">
        <v>89223.14</v>
      </c>
      <c r="K89" s="7">
        <v>0.74105598006644513</v>
      </c>
    </row>
    <row r="90" spans="8:11" x14ac:dyDescent="0.25">
      <c r="H90" s="3" t="s">
        <v>50</v>
      </c>
      <c r="I90" s="4">
        <v>95400</v>
      </c>
      <c r="J90" s="4">
        <v>70378.649999999994</v>
      </c>
      <c r="K90" s="7">
        <v>0.73772169811320754</v>
      </c>
    </row>
    <row r="91" spans="8:11" x14ac:dyDescent="0.25">
      <c r="H91" s="3" t="s">
        <v>121</v>
      </c>
      <c r="I91" s="4">
        <v>39800</v>
      </c>
      <c r="J91" s="4">
        <v>29230.43</v>
      </c>
      <c r="K91" s="7">
        <v>0.7344329145728643</v>
      </c>
    </row>
    <row r="92" spans="8:11" x14ac:dyDescent="0.25">
      <c r="H92" s="3" t="s">
        <v>17</v>
      </c>
      <c r="I92" s="4">
        <v>123700</v>
      </c>
      <c r="J92" s="4">
        <v>90545.37</v>
      </c>
      <c r="K92" s="7">
        <v>0.73197550525464827</v>
      </c>
    </row>
    <row r="93" spans="8:11" x14ac:dyDescent="0.25">
      <c r="H93" s="3" t="s">
        <v>122</v>
      </c>
      <c r="I93" s="4">
        <v>34800</v>
      </c>
      <c r="J93" s="4">
        <v>25358.32</v>
      </c>
      <c r="K93" s="7">
        <v>0.72868735632183912</v>
      </c>
    </row>
    <row r="94" spans="8:11" x14ac:dyDescent="0.25">
      <c r="H94" s="3" t="s">
        <v>32</v>
      </c>
      <c r="I94" s="4">
        <v>113000</v>
      </c>
      <c r="J94" s="4">
        <v>82223.23</v>
      </c>
      <c r="K94" s="7">
        <v>0.72763920353982292</v>
      </c>
    </row>
    <row r="95" spans="8:11" x14ac:dyDescent="0.25">
      <c r="H95" s="3" t="s">
        <v>51</v>
      </c>
      <c r="I95" s="4">
        <v>95100</v>
      </c>
      <c r="J95" s="4">
        <v>69059.039999999994</v>
      </c>
      <c r="K95" s="7">
        <v>0.7261728706624605</v>
      </c>
    </row>
    <row r="96" spans="8:11" x14ac:dyDescent="0.25">
      <c r="H96" s="3" t="s">
        <v>126</v>
      </c>
      <c r="I96" s="4">
        <v>11000</v>
      </c>
      <c r="J96" s="4">
        <v>7918.6</v>
      </c>
      <c r="K96" s="7">
        <v>0.71987272727272733</v>
      </c>
    </row>
    <row r="97" spans="8:11" x14ac:dyDescent="0.25">
      <c r="H97" s="3" t="s">
        <v>109</v>
      </c>
      <c r="I97" s="4">
        <v>57700</v>
      </c>
      <c r="J97" s="4">
        <v>41506.19</v>
      </c>
      <c r="K97" s="7">
        <v>0.71934471403812827</v>
      </c>
    </row>
    <row r="98" spans="8:11" x14ac:dyDescent="0.25">
      <c r="H98" s="3" t="s">
        <v>93</v>
      </c>
      <c r="I98" s="4">
        <v>69400</v>
      </c>
      <c r="J98" s="4">
        <v>49898.27</v>
      </c>
      <c r="K98" s="7">
        <v>0.71899524495677225</v>
      </c>
    </row>
    <row r="99" spans="8:11" x14ac:dyDescent="0.25">
      <c r="H99" s="3" t="s">
        <v>78</v>
      </c>
      <c r="I99" s="4">
        <v>81100</v>
      </c>
      <c r="J99" s="4">
        <v>57939.34</v>
      </c>
      <c r="K99" s="7">
        <v>0.71441849568434024</v>
      </c>
    </row>
    <row r="100" spans="8:11" x14ac:dyDescent="0.25">
      <c r="H100" s="3" t="s">
        <v>103</v>
      </c>
      <c r="I100" s="4">
        <v>60300</v>
      </c>
      <c r="J100" s="4">
        <v>42570.37</v>
      </c>
      <c r="K100" s="7">
        <v>0.70597628524046441</v>
      </c>
    </row>
    <row r="101" spans="8:11" x14ac:dyDescent="0.25">
      <c r="H101" s="3" t="s">
        <v>118</v>
      </c>
      <c r="I101" s="4">
        <v>43300</v>
      </c>
      <c r="J101" s="4">
        <v>29586.15</v>
      </c>
      <c r="K101" s="7">
        <v>0.68328290993071594</v>
      </c>
    </row>
    <row r="102" spans="8:11" x14ac:dyDescent="0.25">
      <c r="H102" s="3" t="s">
        <v>84</v>
      </c>
      <c r="I102" s="4">
        <v>77000</v>
      </c>
      <c r="J102" s="4">
        <v>31310.09</v>
      </c>
      <c r="K102" s="7">
        <v>0.40662454545454546</v>
      </c>
    </row>
  </sheetData>
  <mergeCells count="4">
    <mergeCell ref="B2:C2"/>
    <mergeCell ref="H2:K2"/>
    <mergeCell ref="E2:F2"/>
    <mergeCell ref="E12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8106-CA64-4CB4-B415-A1D4509DD84F}">
  <dimension ref="W2:Y14"/>
  <sheetViews>
    <sheetView showGridLines="0" tabSelected="1" workbookViewId="0">
      <selection activeCell="W20" sqref="W20"/>
    </sheetView>
  </sheetViews>
  <sheetFormatPr defaultRowHeight="15" x14ac:dyDescent="0.25"/>
  <cols>
    <col min="22" max="22" width="4.42578125" customWidth="1"/>
    <col min="23" max="23" width="26" bestFit="1" customWidth="1"/>
    <col min="24" max="24" width="12.42578125" bestFit="1" customWidth="1"/>
    <col min="25" max="25" width="16.140625" bestFit="1" customWidth="1"/>
  </cols>
  <sheetData>
    <row r="2" spans="23:25" x14ac:dyDescent="0.25">
      <c r="W2" s="10" t="s">
        <v>241</v>
      </c>
      <c r="X2" s="10"/>
      <c r="Y2" s="10"/>
    </row>
    <row r="4" spans="23:25" x14ac:dyDescent="0.25">
      <c r="W4" t="s">
        <v>238</v>
      </c>
      <c r="X4" t="s">
        <v>239</v>
      </c>
      <c r="Y4" s="9" t="s">
        <v>240</v>
      </c>
    </row>
    <row r="5" spans="23:25" x14ac:dyDescent="0.25">
      <c r="W5" t="str">
        <f>INDEX('customer_credit_vs_sales'!A:A,2)</f>
        <v>Euro+ Shopping Channel</v>
      </c>
      <c r="X5" t="str">
        <f>INDEX('customer_credit_vs_sales'!B:B,2)</f>
        <v>Spain</v>
      </c>
      <c r="Y5" t="str">
        <f>INDEX('customer_credit_vs_sales'!F:F,2)</f>
        <v>greater than 125k</v>
      </c>
    </row>
    <row r="6" spans="23:25" x14ac:dyDescent="0.25">
      <c r="W6" t="str">
        <f>INDEX('customer_credit_vs_sales'!A:A,3)</f>
        <v>Mini Gifts Distributors Ltd.</v>
      </c>
      <c r="X6" t="str">
        <f>INDEX('customer_credit_vs_sales'!B:B,3)</f>
        <v>USA</v>
      </c>
      <c r="Y6" t="str">
        <f>INDEX('customer_credit_vs_sales'!F:F,3)</f>
        <v>greater than 125k</v>
      </c>
    </row>
    <row r="7" spans="23:25" x14ac:dyDescent="0.25">
      <c r="W7" t="str">
        <f>INDEX('customer_credit_vs_sales'!A:A,4)</f>
        <v>Australian Collectors, Co.</v>
      </c>
      <c r="X7" t="str">
        <f>INDEX('customer_credit_vs_sales'!B:B,4)</f>
        <v>Australia</v>
      </c>
      <c r="Y7" t="str">
        <f>INDEX('customer_credit_vs_sales'!F:F,4)</f>
        <v>100k - 125k</v>
      </c>
    </row>
    <row r="8" spans="23:25" x14ac:dyDescent="0.25">
      <c r="W8" t="str">
        <f>INDEX('customer_credit_vs_sales'!A:A,5)</f>
        <v>Muscle Machine Inc</v>
      </c>
      <c r="X8" t="str">
        <f>INDEX('customer_credit_vs_sales'!B:B,5)</f>
        <v>USA</v>
      </c>
      <c r="Y8" t="str">
        <f>INDEX('customer_credit_vs_sales'!F:F,5)</f>
        <v>greater than 125k</v>
      </c>
    </row>
    <row r="9" spans="23:25" x14ac:dyDescent="0.25">
      <c r="W9" t="str">
        <f>INDEX('customer_credit_vs_sales'!A:A,6)</f>
        <v>La Rochelle Gifts</v>
      </c>
      <c r="X9" t="str">
        <f>INDEX('customer_credit_vs_sales'!B:B,6)</f>
        <v>France</v>
      </c>
      <c r="Y9" t="str">
        <f>INDEX('customer_credit_vs_sales'!F:F,6)</f>
        <v>100k - 125k</v>
      </c>
    </row>
    <row r="10" spans="23:25" x14ac:dyDescent="0.25">
      <c r="W10" t="str">
        <f>INDEX('customer_credit_vs_sales'!A:A,7)</f>
        <v>Dragon Souveniers, Ltd.</v>
      </c>
      <c r="X10" t="str">
        <f>INDEX('customer_credit_vs_sales'!B:B,7)</f>
        <v>Singapore</v>
      </c>
      <c r="Y10" t="str">
        <f>INDEX('customer_credit_vs_sales'!F:F,7)</f>
        <v>100k - 125k</v>
      </c>
    </row>
    <row r="11" spans="23:25" x14ac:dyDescent="0.25">
      <c r="W11" t="str">
        <f>INDEX('customer_credit_vs_sales'!A:A,8)</f>
        <v>Down Under Souveniers, Inc</v>
      </c>
      <c r="X11" t="str">
        <f>INDEX('customer_credit_vs_sales'!B:B,8)</f>
        <v>New Zealand</v>
      </c>
      <c r="Y11" t="str">
        <f>INDEX('customer_credit_vs_sales'!F:F,8)</f>
        <v>75k - 100k</v>
      </c>
    </row>
    <row r="12" spans="23:25" x14ac:dyDescent="0.25">
      <c r="W12" t="str">
        <f>INDEX('customer_credit_vs_sales'!A:A,9)</f>
        <v>Land of Toys Inc.</v>
      </c>
      <c r="X12" t="str">
        <f>INDEX('customer_credit_vs_sales'!B:B,9)</f>
        <v>USA</v>
      </c>
      <c r="Y12" t="str">
        <f>INDEX('customer_credit_vs_sales'!F:F,9)</f>
        <v>100k - 125k</v>
      </c>
    </row>
    <row r="13" spans="23:25" x14ac:dyDescent="0.25">
      <c r="W13" t="str">
        <f>INDEX('customer_credit_vs_sales'!A:A,10)</f>
        <v>AV Stores, Co.</v>
      </c>
      <c r="X13" t="str">
        <f>INDEX('customer_credit_vs_sales'!B:B,10)</f>
        <v>UK</v>
      </c>
      <c r="Y13" t="str">
        <f>INDEX('customer_credit_vs_sales'!F:F,10)</f>
        <v>greater than 125k</v>
      </c>
    </row>
    <row r="14" spans="23:25" x14ac:dyDescent="0.25">
      <c r="W14" t="str">
        <f>INDEX('customer_credit_vs_sales'!A:A,11)</f>
        <v>The Sharp Gifts Warehouse</v>
      </c>
      <c r="X14" t="str">
        <f>INDEX('customer_credit_vs_sales'!B:B,11)</f>
        <v>USA</v>
      </c>
      <c r="Y14" t="str">
        <f>INDEX('customer_credit_vs_sales'!F:F,11)</f>
        <v>75k - 100k</v>
      </c>
    </row>
  </sheetData>
  <mergeCells count="1">
    <mergeCell ref="W2:Y2"/>
  </mergeCells>
  <conditionalFormatting sqref="Y4">
    <cfRule type="cellIs" dxfId="40" priority="16" operator="equal">
      <formula>"less than 50k"</formula>
    </cfRule>
    <cfRule type="cellIs" dxfId="39" priority="17" operator="equal">
      <formula>"50k - 75k"</formula>
    </cfRule>
    <cfRule type="cellIs" dxfId="38" priority="18" operator="equal">
      <formula>"75k - 100k"</formula>
    </cfRule>
    <cfRule type="cellIs" dxfId="37" priority="19" operator="equal">
      <formula>"100k - 125k"</formula>
    </cfRule>
    <cfRule type="cellIs" dxfId="36" priority="20" operator="equal">
      <formula>"greater than 125k"</formula>
    </cfRule>
  </conditionalFormatting>
  <conditionalFormatting sqref="Y5:Y14">
    <cfRule type="cellIs" dxfId="4" priority="1" operator="equal">
      <formula>"less than 50k"</formula>
    </cfRule>
    <cfRule type="cellIs" dxfId="3" priority="2" operator="equal">
      <formula>"50k - 75k"</formula>
    </cfRule>
    <cfRule type="cellIs" dxfId="2" priority="3" operator="equal">
      <formula>"75k - 100k"</formula>
    </cfRule>
    <cfRule type="cellIs" dxfId="1" priority="4" operator="equal">
      <formula>"100k - 125k"</formula>
    </cfRule>
    <cfRule type="cellIs" dxfId="0" priority="5" operator="equal">
      <formula>"greater than 125k"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81A8F7-44E4-4D15-BDD8-743BC5995F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total_revenue_bycountry</vt:lpstr>
      <vt:lpstr>customer_credit_vs_sales</vt:lpstr>
      <vt:lpstr>Pivot 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</dc:creator>
  <cp:lastModifiedBy>Daniel S</cp:lastModifiedBy>
  <dcterms:created xsi:type="dcterms:W3CDTF">2026-02-21T13:07:39Z</dcterms:created>
  <dcterms:modified xsi:type="dcterms:W3CDTF">2026-02-24T19:04:04Z</dcterms:modified>
</cp:coreProperties>
</file>