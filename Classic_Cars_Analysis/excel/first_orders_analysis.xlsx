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Jobs\Data Projects\Classic Cars\"/>
    </mc:Choice>
  </mc:AlternateContent>
  <xr:revisionPtr revIDLastSave="0" documentId="13_ncr:1_{563ABAE1-B74B-4585-A22A-4582A2109661}" xr6:coauthVersionLast="47" xr6:coauthVersionMax="47" xr10:uidLastSave="{00000000-0000-0000-0000-000000000000}"/>
  <bookViews>
    <workbookView xWindow="-110" yWindow="-110" windowWidth="38620" windowHeight="21100" xr2:uid="{587A0965-6126-4673-8DC6-FE23D7773128}"/>
  </bookViews>
  <sheets>
    <sheet name="first_orders_analysis" sheetId="4" r:id="rId1"/>
    <sheet name="Pivot Tables" sheetId="3" r:id="rId2"/>
    <sheet name="Charts" sheetId="1" r:id="rId3"/>
    <sheet name="Sheet1" sheetId="5" state="hidden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4" l="1" a="1"/>
  <c r="H2" i="4" s="1"/>
  <c r="H3" i="4" a="1"/>
  <c r="H3" i="4" s="1"/>
  <c r="H4" i="4" a="1"/>
  <c r="H4" i="4" s="1"/>
  <c r="H5" i="4" a="1"/>
  <c r="H5" i="4" s="1"/>
  <c r="H6" i="4" a="1"/>
  <c r="H6" i="4" s="1"/>
  <c r="H7" i="4" a="1"/>
  <c r="H7" i="4" s="1"/>
  <c r="H8" i="4" a="1"/>
  <c r="H8" i="4" s="1"/>
  <c r="H9" i="4" a="1"/>
  <c r="H9" i="4" s="1"/>
  <c r="H10" i="4" a="1"/>
  <c r="H10" i="4" s="1"/>
  <c r="H11" i="4" a="1"/>
  <c r="H11" i="4" s="1"/>
  <c r="H12" i="4" a="1"/>
  <c r="H12" i="4" s="1"/>
  <c r="H13" i="4" a="1"/>
  <c r="H13" i="4" s="1"/>
  <c r="H14" i="4" a="1"/>
  <c r="H14" i="4" s="1"/>
  <c r="H15" i="4" a="1"/>
  <c r="H15" i="4" s="1"/>
  <c r="H16" i="4" a="1"/>
  <c r="H16" i="4" s="1"/>
  <c r="H17" i="4" a="1"/>
  <c r="H17" i="4" s="1"/>
  <c r="H18" i="4" a="1"/>
  <c r="H18" i="4" s="1"/>
  <c r="H19" i="4" a="1"/>
  <c r="H19" i="4" s="1"/>
  <c r="H20" i="4" a="1"/>
  <c r="H20" i="4" s="1"/>
  <c r="H21" i="4" a="1"/>
  <c r="H21" i="4" s="1"/>
  <c r="H22" i="4" a="1"/>
  <c r="H22" i="4" s="1"/>
  <c r="H23" i="4" a="1"/>
  <c r="H23" i="4" s="1"/>
  <c r="H24" i="4" a="1"/>
  <c r="H24" i="4" s="1"/>
  <c r="H25" i="4" a="1"/>
  <c r="H25" i="4" s="1"/>
  <c r="H26" i="4" a="1"/>
  <c r="H26" i="4" s="1"/>
  <c r="H27" i="4" a="1"/>
  <c r="H27" i="4" s="1"/>
  <c r="H28" i="4" a="1"/>
  <c r="H28" i="4" s="1"/>
  <c r="H29" i="4" a="1"/>
  <c r="H29" i="4" s="1"/>
  <c r="H30" i="4" a="1"/>
  <c r="H30" i="4" s="1"/>
  <c r="H31" i="4" a="1"/>
  <c r="H31" i="4" s="1"/>
  <c r="H32" i="4" a="1"/>
  <c r="H32" i="4" s="1"/>
  <c r="H33" i="4" a="1"/>
  <c r="H33" i="4" s="1"/>
  <c r="H34" i="4" a="1"/>
  <c r="H34" i="4" s="1"/>
  <c r="H35" i="4" a="1"/>
  <c r="H35" i="4" s="1"/>
  <c r="H36" i="4" a="1"/>
  <c r="H36" i="4" s="1"/>
  <c r="H37" i="4" a="1"/>
  <c r="H37" i="4" s="1"/>
  <c r="H38" i="4" a="1"/>
  <c r="H38" i="4" s="1"/>
  <c r="H39" i="4" a="1"/>
  <c r="H39" i="4" s="1"/>
  <c r="H40" i="4" a="1"/>
  <c r="H40" i="4" s="1"/>
  <c r="H41" i="4" a="1"/>
  <c r="H41" i="4" s="1"/>
  <c r="H42" i="4" a="1"/>
  <c r="H42" i="4" s="1"/>
  <c r="H43" i="4" a="1"/>
  <c r="H43" i="4" s="1"/>
  <c r="H44" i="4" a="1"/>
  <c r="H44" i="4" s="1"/>
  <c r="H45" i="4" a="1"/>
  <c r="H45" i="4" s="1"/>
  <c r="H46" i="4" a="1"/>
  <c r="H46" i="4" s="1"/>
  <c r="H47" i="4" a="1"/>
  <c r="H47" i="4" s="1"/>
  <c r="H48" i="4" a="1"/>
  <c r="H48" i="4" s="1"/>
  <c r="H49" i="4" a="1"/>
  <c r="H49" i="4" s="1"/>
  <c r="H50" i="4" a="1"/>
  <c r="H50" i="4" s="1"/>
  <c r="H51" i="4" a="1"/>
  <c r="H51" i="4" s="1"/>
  <c r="H52" i="4" a="1"/>
  <c r="H52" i="4" s="1"/>
  <c r="H53" i="4" a="1"/>
  <c r="H53" i="4" s="1"/>
  <c r="H54" i="4" a="1"/>
  <c r="H54" i="4" s="1"/>
  <c r="H55" i="4" a="1"/>
  <c r="H55" i="4" s="1"/>
  <c r="H56" i="4" a="1"/>
  <c r="H56" i="4" s="1"/>
  <c r="H57" i="4" a="1"/>
  <c r="H57" i="4" s="1"/>
  <c r="H58" i="4" a="1"/>
  <c r="H58" i="4" s="1"/>
  <c r="H59" i="4" a="1"/>
  <c r="H59" i="4" s="1"/>
  <c r="H60" i="4" a="1"/>
  <c r="H60" i="4" s="1"/>
  <c r="H61" i="4" a="1"/>
  <c r="H61" i="4" s="1"/>
  <c r="H62" i="4" a="1"/>
  <c r="H62" i="4" s="1"/>
  <c r="H63" i="4" a="1"/>
  <c r="H63" i="4" s="1"/>
  <c r="H64" i="4" a="1"/>
  <c r="H64" i="4" s="1"/>
  <c r="H65" i="4" a="1"/>
  <c r="H65" i="4" s="1"/>
  <c r="H66" i="4" a="1"/>
  <c r="H66" i="4" s="1"/>
  <c r="H67" i="4" a="1"/>
  <c r="H67" i="4" s="1"/>
  <c r="H68" i="4" a="1"/>
  <c r="H68" i="4" s="1"/>
  <c r="H69" i="4" a="1"/>
  <c r="H69" i="4" s="1"/>
  <c r="H70" i="4" a="1"/>
  <c r="H70" i="4" s="1"/>
  <c r="H71" i="4" a="1"/>
  <c r="H71" i="4" s="1"/>
  <c r="H72" i="4" a="1"/>
  <c r="H72" i="4" s="1"/>
  <c r="H73" i="4" a="1"/>
  <c r="H73" i="4" s="1"/>
  <c r="H74" i="4" a="1"/>
  <c r="H74" i="4" s="1"/>
  <c r="H75" i="4" a="1"/>
  <c r="H75" i="4" s="1"/>
  <c r="H76" i="4" a="1"/>
  <c r="H76" i="4" s="1"/>
  <c r="H77" i="4" a="1"/>
  <c r="H77" i="4" s="1"/>
  <c r="H78" i="4" a="1"/>
  <c r="H78" i="4" s="1"/>
  <c r="H79" i="4" a="1"/>
  <c r="H79" i="4" s="1"/>
  <c r="H80" i="4" a="1"/>
  <c r="H80" i="4" s="1"/>
  <c r="H81" i="4" a="1"/>
  <c r="H81" i="4" s="1"/>
  <c r="H82" i="4" a="1"/>
  <c r="H82" i="4" s="1"/>
  <c r="H83" i="4" a="1"/>
  <c r="H83" i="4" s="1"/>
  <c r="H84" i="4" a="1"/>
  <c r="H84" i="4" s="1"/>
  <c r="H85" i="4" a="1"/>
  <c r="H85" i="4" s="1"/>
  <c r="H86" i="4" a="1"/>
  <c r="H86" i="4" s="1"/>
  <c r="H87" i="4" a="1"/>
  <c r="H87" i="4" s="1"/>
  <c r="H88" i="4" a="1"/>
  <c r="H88" i="4" s="1"/>
  <c r="H89" i="4" a="1"/>
  <c r="H89" i="4" s="1"/>
  <c r="H90" i="4" a="1"/>
  <c r="H90" i="4" s="1"/>
  <c r="H91" i="4" a="1"/>
  <c r="H91" i="4" s="1"/>
  <c r="H92" i="4" a="1"/>
  <c r="H92" i="4" s="1"/>
  <c r="H93" i="4" a="1"/>
  <c r="H93" i="4" s="1"/>
  <c r="H94" i="4" a="1"/>
  <c r="H94" i="4" s="1"/>
  <c r="H95" i="4" a="1"/>
  <c r="H95" i="4" s="1"/>
  <c r="H96" i="4" a="1"/>
  <c r="H96" i="4" s="1"/>
  <c r="H97" i="4" a="1"/>
  <c r="H97" i="4" s="1"/>
  <c r="H98" i="4" a="1"/>
  <c r="H98" i="4" s="1"/>
  <c r="H99" i="4" a="1"/>
  <c r="H99" i="4" s="1"/>
  <c r="H100" i="4" a="1"/>
  <c r="H100" i="4" s="1"/>
  <c r="H101" i="4" a="1"/>
  <c r="H101" i="4" s="1"/>
  <c r="H102" i="4" a="1"/>
  <c r="H102" i="4" s="1"/>
  <c r="H103" i="4" a="1"/>
  <c r="H103" i="4" s="1"/>
  <c r="H104" i="4" a="1"/>
  <c r="H104" i="4" s="1"/>
  <c r="H105" i="4" a="1"/>
  <c r="H105" i="4" s="1"/>
  <c r="H106" i="4" a="1"/>
  <c r="H106" i="4" s="1"/>
  <c r="H107" i="4" a="1"/>
  <c r="H107" i="4" s="1"/>
  <c r="H108" i="4" a="1"/>
  <c r="H108" i="4" s="1"/>
  <c r="H109" i="4" a="1"/>
  <c r="H109" i="4" s="1"/>
  <c r="H110" i="4" a="1"/>
  <c r="H110" i="4" s="1"/>
  <c r="H111" i="4" a="1"/>
  <c r="H111" i="4" s="1"/>
  <c r="H112" i="4" a="1"/>
  <c r="H112" i="4" s="1"/>
  <c r="H113" i="4" a="1"/>
  <c r="H113" i="4" s="1"/>
  <c r="H114" i="4" a="1"/>
  <c r="H114" i="4" s="1"/>
  <c r="H115" i="4" a="1"/>
  <c r="H115" i="4" s="1"/>
  <c r="H116" i="4" a="1"/>
  <c r="H116" i="4" s="1"/>
  <c r="H117" i="4" a="1"/>
  <c r="H117" i="4" s="1"/>
  <c r="H118" i="4" a="1"/>
  <c r="H118" i="4" s="1"/>
  <c r="H119" i="4" a="1"/>
  <c r="H119" i="4" s="1"/>
  <c r="H120" i="4" a="1"/>
  <c r="H120" i="4" s="1"/>
  <c r="H121" i="4" a="1"/>
  <c r="H121" i="4" s="1"/>
  <c r="H122" i="4" a="1"/>
  <c r="H122" i="4" s="1"/>
  <c r="H123" i="4" a="1"/>
  <c r="H123" i="4" s="1"/>
  <c r="H124" i="4" a="1"/>
  <c r="H124" i="4" s="1"/>
  <c r="H125" i="4" a="1"/>
  <c r="H125" i="4" s="1"/>
  <c r="H126" i="4" a="1"/>
  <c r="H126" i="4" s="1"/>
  <c r="H127" i="4" a="1"/>
  <c r="H127" i="4" s="1"/>
  <c r="H128" i="4" a="1"/>
  <c r="H128" i="4" s="1"/>
  <c r="H129" i="4" a="1"/>
  <c r="H129" i="4" s="1"/>
  <c r="H130" i="4" a="1"/>
  <c r="H130" i="4" s="1"/>
  <c r="H131" i="4" a="1"/>
  <c r="H131" i="4" s="1"/>
  <c r="H132" i="4" a="1"/>
  <c r="H132" i="4" s="1"/>
  <c r="H133" i="4" a="1"/>
  <c r="H133" i="4" s="1"/>
  <c r="H134" i="4" a="1"/>
  <c r="H134" i="4" s="1"/>
  <c r="H135" i="4" a="1"/>
  <c r="H135" i="4" s="1"/>
  <c r="H136" i="4" a="1"/>
  <c r="H136" i="4" s="1"/>
  <c r="H137" i="4" a="1"/>
  <c r="H137" i="4" s="1"/>
  <c r="H138" i="4" a="1"/>
  <c r="H138" i="4" s="1"/>
  <c r="H139" i="4" a="1"/>
  <c r="H139" i="4" s="1"/>
  <c r="H140" i="4" a="1"/>
  <c r="H140" i="4" s="1"/>
  <c r="H141" i="4" a="1"/>
  <c r="H141" i="4" s="1"/>
  <c r="H142" i="4" a="1"/>
  <c r="H142" i="4" s="1"/>
  <c r="H143" i="4" a="1"/>
  <c r="H143" i="4" s="1"/>
  <c r="H144" i="4" a="1"/>
  <c r="H144" i="4" s="1"/>
  <c r="H145" i="4" a="1"/>
  <c r="H145" i="4" s="1"/>
  <c r="H146" i="4" a="1"/>
  <c r="H146" i="4" s="1"/>
  <c r="H147" i="4" a="1"/>
  <c r="H147" i="4" s="1"/>
  <c r="H148" i="4" a="1"/>
  <c r="H148" i="4" s="1"/>
  <c r="H149" i="4" a="1"/>
  <c r="H149" i="4" s="1"/>
  <c r="H150" i="4" a="1"/>
  <c r="H150" i="4" s="1"/>
  <c r="H151" i="4" a="1"/>
  <c r="H151" i="4" s="1"/>
  <c r="H152" i="4" a="1"/>
  <c r="H152" i="4" s="1"/>
  <c r="H153" i="4" a="1"/>
  <c r="H153" i="4" s="1"/>
  <c r="H154" i="4" a="1"/>
  <c r="H154" i="4" s="1"/>
  <c r="H155" i="4" a="1"/>
  <c r="H155" i="4" s="1"/>
  <c r="H156" i="4" a="1"/>
  <c r="H156" i="4" s="1"/>
  <c r="H157" i="4" a="1"/>
  <c r="H157" i="4" s="1"/>
  <c r="H158" i="4" a="1"/>
  <c r="H158" i="4" s="1"/>
  <c r="H159" i="4" a="1"/>
  <c r="H159" i="4" s="1"/>
  <c r="H160" i="4" a="1"/>
  <c r="H160" i="4" s="1"/>
  <c r="H161" i="4" a="1"/>
  <c r="H161" i="4" s="1"/>
  <c r="H162" i="4" a="1"/>
  <c r="H162" i="4" s="1"/>
  <c r="H163" i="4" a="1"/>
  <c r="H163" i="4" s="1"/>
  <c r="H164" i="4" a="1"/>
  <c r="H164" i="4" s="1"/>
  <c r="H165" i="4" a="1"/>
  <c r="H165" i="4"/>
  <c r="H166" i="4" a="1"/>
  <c r="H166" i="4"/>
  <c r="H167" i="4" a="1"/>
  <c r="H167" i="4"/>
  <c r="H168" i="4" a="1"/>
  <c r="H168" i="4"/>
  <c r="H169" i="4" a="1"/>
  <c r="H169" i="4"/>
  <c r="H170" i="4" a="1"/>
  <c r="H170" i="4"/>
  <c r="H171" i="4" a="1"/>
  <c r="H171" i="4" s="1"/>
  <c r="H172" i="4" a="1"/>
  <c r="H172" i="4" s="1"/>
  <c r="H173" i="4" a="1"/>
  <c r="H173" i="4" s="1"/>
  <c r="H174" i="4" a="1"/>
  <c r="H174" i="4" s="1"/>
  <c r="H175" i="4" a="1"/>
  <c r="H175" i="4" s="1"/>
  <c r="H176" i="4" a="1"/>
  <c r="H176" i="4" s="1"/>
  <c r="H177" i="4" a="1"/>
  <c r="H177" i="4" s="1"/>
  <c r="H178" i="4" a="1"/>
  <c r="H178" i="4" s="1"/>
  <c r="H179" i="4" a="1"/>
  <c r="H179" i="4" s="1"/>
  <c r="H180" i="4" a="1"/>
  <c r="H180" i="4" s="1"/>
  <c r="H181" i="4" a="1"/>
  <c r="H181" i="4" s="1"/>
  <c r="H182" i="4" a="1"/>
  <c r="H182" i="4" s="1"/>
  <c r="H183" i="4" a="1"/>
  <c r="H183" i="4" s="1"/>
  <c r="H184" i="4" a="1"/>
  <c r="H184" i="4" s="1"/>
  <c r="H185" i="4" a="1"/>
  <c r="H185" i="4"/>
  <c r="H186" i="4" a="1"/>
  <c r="H186" i="4"/>
  <c r="H187" i="4" a="1"/>
  <c r="H187" i="4"/>
  <c r="H188" i="4" a="1"/>
  <c r="H188" i="4"/>
  <c r="H189" i="4" a="1"/>
  <c r="H189" i="4"/>
  <c r="H190" i="4" a="1"/>
  <c r="H190" i="4"/>
  <c r="H191" i="4" a="1"/>
  <c r="H191" i="4"/>
  <c r="H192" i="4" a="1"/>
  <c r="H192" i="4"/>
  <c r="H193" i="4" a="1"/>
  <c r="H193" i="4"/>
  <c r="H194" i="4" a="1"/>
  <c r="H194" i="4"/>
  <c r="H195" i="4" a="1"/>
  <c r="H195" i="4"/>
  <c r="H196" i="4" a="1"/>
  <c r="H196" i="4"/>
  <c r="H197" i="4" a="1"/>
  <c r="H197" i="4"/>
  <c r="H198" i="4" a="1"/>
  <c r="H198" i="4"/>
  <c r="H199" i="4" a="1"/>
  <c r="H199" i="4" s="1"/>
  <c r="H200" i="4" a="1"/>
  <c r="H200" i="4" s="1"/>
  <c r="H201" i="4" a="1"/>
  <c r="H201" i="4" s="1"/>
  <c r="H202" i="4" a="1"/>
  <c r="H202" i="4" s="1"/>
  <c r="H203" i="4" a="1"/>
  <c r="H203" i="4" s="1"/>
  <c r="H204" i="4" a="1"/>
  <c r="H204" i="4" s="1"/>
  <c r="H205" i="4" a="1"/>
  <c r="H205" i="4" s="1"/>
  <c r="H206" i="4" a="1"/>
  <c r="H206" i="4"/>
  <c r="H207" i="4" a="1"/>
  <c r="H207" i="4"/>
  <c r="H208" i="4" a="1"/>
  <c r="H208" i="4"/>
  <c r="H209" i="4" a="1"/>
  <c r="H209" i="4"/>
  <c r="H210" i="4" a="1"/>
  <c r="H210" i="4"/>
  <c r="H211" i="4" a="1"/>
  <c r="H211" i="4"/>
  <c r="H212" i="4" a="1"/>
  <c r="H212" i="4"/>
  <c r="H213" i="4" a="1"/>
  <c r="H213" i="4"/>
  <c r="H214" i="4" a="1"/>
  <c r="H214" i="4"/>
  <c r="H215" i="4" a="1"/>
  <c r="H215" i="4"/>
  <c r="H216" i="4" a="1"/>
  <c r="H216" i="4"/>
  <c r="H217" i="4" a="1"/>
  <c r="H217" i="4"/>
  <c r="H218" i="4" a="1"/>
  <c r="H218" i="4" s="1"/>
  <c r="H219" i="4" a="1"/>
  <c r="H219" i="4" s="1"/>
  <c r="H220" i="4" a="1"/>
  <c r="H220" i="4" s="1"/>
  <c r="H221" i="4" a="1"/>
  <c r="H221" i="4" s="1"/>
  <c r="H222" i="4" a="1"/>
  <c r="H222" i="4" s="1"/>
  <c r="H223" i="4" a="1"/>
  <c r="H223" i="4" s="1"/>
  <c r="H224" i="4" a="1"/>
  <c r="H224" i="4" s="1"/>
  <c r="H225" i="4" a="1"/>
  <c r="H225" i="4" s="1"/>
  <c r="H226" i="4" a="1"/>
  <c r="H226" i="4" s="1"/>
  <c r="H227" i="4" a="1"/>
  <c r="H227" i="4" s="1"/>
  <c r="H228" i="4" a="1"/>
  <c r="H228" i="4" s="1"/>
  <c r="H229" i="4" a="1"/>
  <c r="H229" i="4" s="1"/>
  <c r="H230" i="4" a="1"/>
  <c r="H230" i="4" s="1"/>
  <c r="H231" i="4" a="1"/>
  <c r="H231" i="4" s="1"/>
  <c r="H232" i="4" a="1"/>
  <c r="H232" i="4" s="1"/>
  <c r="H233" i="4" a="1"/>
  <c r="H233" i="4" s="1"/>
  <c r="H234" i="4" a="1"/>
  <c r="H234" i="4" s="1"/>
  <c r="H235" i="4" a="1"/>
  <c r="H235" i="4" s="1"/>
  <c r="H236" i="4" a="1"/>
  <c r="H236" i="4" s="1"/>
  <c r="H237" i="4" a="1"/>
  <c r="H237" i="4" s="1"/>
  <c r="H238" i="4" a="1"/>
  <c r="H238" i="4" s="1"/>
  <c r="H239" i="4" a="1"/>
  <c r="H239" i="4" s="1"/>
  <c r="H240" i="4" a="1"/>
  <c r="H240" i="4" s="1"/>
  <c r="H241" i="4" a="1"/>
  <c r="H241" i="4" s="1"/>
  <c r="H242" i="4" a="1"/>
  <c r="H242" i="4" s="1"/>
  <c r="H243" i="4" a="1"/>
  <c r="H243" i="4" s="1"/>
  <c r="H244" i="4" a="1"/>
  <c r="H244" i="4" s="1"/>
  <c r="H245" i="4" a="1"/>
  <c r="H245" i="4" s="1"/>
  <c r="H246" i="4" a="1"/>
  <c r="H246" i="4" s="1"/>
  <c r="H247" i="4" a="1"/>
  <c r="H247" i="4" s="1"/>
  <c r="H248" i="4" a="1"/>
  <c r="H248" i="4" s="1"/>
  <c r="H249" i="4" a="1"/>
  <c r="H249" i="4" s="1"/>
  <c r="H250" i="4" a="1"/>
  <c r="H250" i="4" s="1"/>
  <c r="H251" i="4" a="1"/>
  <c r="H251" i="4" s="1"/>
  <c r="H252" i="4" a="1"/>
  <c r="H252" i="4" s="1"/>
  <c r="H253" i="4" a="1"/>
  <c r="H253" i="4" s="1"/>
  <c r="H254" i="4" a="1"/>
  <c r="H254" i="4" s="1"/>
  <c r="H255" i="4" a="1"/>
  <c r="H255" i="4" s="1"/>
  <c r="H256" i="4" a="1"/>
  <c r="H256" i="4" s="1"/>
  <c r="H257" i="4" a="1"/>
  <c r="H257" i="4" s="1"/>
  <c r="H258" i="4" a="1"/>
  <c r="H258" i="4" s="1"/>
  <c r="H259" i="4" a="1"/>
  <c r="H259" i="4" s="1"/>
  <c r="H260" i="4" a="1"/>
  <c r="H260" i="4" s="1"/>
  <c r="H261" i="4" a="1"/>
  <c r="H261" i="4" s="1"/>
  <c r="H262" i="4" a="1"/>
  <c r="H262" i="4" s="1"/>
  <c r="H263" i="4" a="1"/>
  <c r="H263" i="4" s="1"/>
  <c r="H264" i="4" a="1"/>
  <c r="H264" i="4" s="1"/>
  <c r="H265" i="4" a="1"/>
  <c r="H265" i="4" s="1"/>
  <c r="H266" i="4" a="1"/>
  <c r="H266" i="4" s="1"/>
  <c r="H267" i="4" a="1"/>
  <c r="H267" i="4" s="1"/>
  <c r="H268" i="4" a="1"/>
  <c r="H268" i="4" s="1"/>
  <c r="H269" i="4" a="1"/>
  <c r="H269" i="4" s="1"/>
  <c r="H270" i="4" a="1"/>
  <c r="H270" i="4" s="1"/>
  <c r="H271" i="4" a="1"/>
  <c r="H271" i="4" s="1"/>
  <c r="H272" i="4" a="1"/>
  <c r="H272" i="4" s="1"/>
  <c r="H273" i="4" a="1"/>
  <c r="H273" i="4" s="1"/>
  <c r="H274" i="4" a="1"/>
  <c r="H274" i="4" s="1"/>
  <c r="H275" i="4" a="1"/>
  <c r="H275" i="4" s="1"/>
  <c r="H276" i="4" a="1"/>
  <c r="H276" i="4" s="1"/>
  <c r="H277" i="4" a="1"/>
  <c r="H277" i="4" s="1"/>
  <c r="H278" i="4" a="1"/>
  <c r="H278" i="4" s="1"/>
  <c r="H279" i="4" a="1"/>
  <c r="H279" i="4" s="1"/>
  <c r="H280" i="4" a="1"/>
  <c r="H280" i="4" s="1"/>
  <c r="H281" i="4" a="1"/>
  <c r="H281" i="4" s="1"/>
  <c r="H282" i="4" a="1"/>
  <c r="H282" i="4" s="1"/>
  <c r="H283" i="4" a="1"/>
  <c r="H283" i="4" s="1"/>
  <c r="H284" i="4" a="1"/>
  <c r="H284" i="4" s="1"/>
  <c r="H285" i="4" a="1"/>
  <c r="H285" i="4" s="1"/>
  <c r="H286" i="4" a="1"/>
  <c r="H286" i="4" s="1"/>
  <c r="H287" i="4" a="1"/>
  <c r="H287" i="4" s="1"/>
  <c r="H288" i="4" a="1"/>
  <c r="H288" i="4" s="1"/>
  <c r="H289" i="4" a="1"/>
  <c r="H289" i="4" s="1"/>
  <c r="H290" i="4" a="1"/>
  <c r="H290" i="4" s="1"/>
  <c r="H291" i="4" a="1"/>
  <c r="H291" i="4" s="1"/>
  <c r="H292" i="4" a="1"/>
  <c r="H292" i="4" s="1"/>
  <c r="H293" i="4" a="1"/>
  <c r="H293" i="4" s="1"/>
  <c r="H294" i="4" a="1"/>
  <c r="H294" i="4" s="1"/>
  <c r="H295" i="4" a="1"/>
  <c r="H295" i="4" s="1"/>
  <c r="H296" i="4" a="1"/>
  <c r="H296" i="4" s="1"/>
  <c r="H297" i="4" a="1"/>
  <c r="H297" i="4" s="1"/>
  <c r="H298" i="4" a="1"/>
  <c r="H298" i="4" s="1"/>
  <c r="H299" i="4" a="1"/>
  <c r="H299" i="4" s="1"/>
  <c r="H300" i="4" a="1"/>
  <c r="H300" i="4" s="1"/>
  <c r="H301" i="4" a="1"/>
  <c r="H301" i="4" s="1"/>
  <c r="H302" i="4" a="1"/>
  <c r="H302" i="4" s="1"/>
  <c r="H303" i="4" a="1"/>
  <c r="H303" i="4" s="1"/>
  <c r="H304" i="4" a="1"/>
  <c r="H304" i="4" s="1"/>
  <c r="H305" i="4" a="1"/>
  <c r="H305" i="4" s="1"/>
  <c r="H306" i="4" a="1"/>
  <c r="H306" i="4" s="1"/>
  <c r="H307" i="4" a="1"/>
  <c r="H307" i="4" s="1"/>
  <c r="H308" i="4" a="1"/>
  <c r="H308" i="4" s="1"/>
  <c r="H309" i="4" a="1"/>
  <c r="H309" i="4" s="1"/>
  <c r="H310" i="4" a="1"/>
  <c r="H310" i="4" s="1"/>
  <c r="H311" i="4" a="1"/>
  <c r="H311" i="4" s="1"/>
  <c r="H312" i="4" a="1"/>
  <c r="H312" i="4" s="1"/>
  <c r="H313" i="4" a="1"/>
  <c r="H313" i="4" s="1"/>
  <c r="H314" i="4" a="1"/>
  <c r="H314" i="4" s="1"/>
  <c r="H315" i="4" a="1"/>
  <c r="H315" i="4" s="1"/>
  <c r="H316" i="4" a="1"/>
  <c r="H316" i="4" s="1"/>
  <c r="H317" i="4" a="1"/>
  <c r="H317" i="4" s="1"/>
  <c r="H318" i="4" a="1"/>
  <c r="H318" i="4" s="1"/>
  <c r="H319" i="4" a="1"/>
  <c r="H319" i="4" s="1"/>
  <c r="H320" i="4" a="1"/>
  <c r="H320" i="4" s="1"/>
  <c r="H321" i="4" a="1"/>
  <c r="H321" i="4" s="1"/>
  <c r="H322" i="4" a="1"/>
  <c r="H322" i="4" s="1"/>
  <c r="H323" i="4" a="1"/>
  <c r="H323" i="4" s="1"/>
  <c r="H324" i="4" a="1"/>
  <c r="H324" i="4" s="1"/>
  <c r="H325" i="4" a="1"/>
  <c r="H325" i="4" s="1"/>
  <c r="H326" i="4" a="1"/>
  <c r="H326" i="4" s="1"/>
  <c r="H327" i="4" a="1"/>
  <c r="H327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<sst xmlns="http://schemas.openxmlformats.org/spreadsheetml/2006/main" count="722" uniqueCount="125">
  <si>
    <t>customername</t>
  </si>
  <si>
    <t>ordernumber</t>
  </si>
  <si>
    <t>orderdate</t>
  </si>
  <si>
    <t>prev_amount</t>
  </si>
  <si>
    <t>order_value_change</t>
  </si>
  <si>
    <t>Alpha Cognac</t>
  </si>
  <si>
    <t>Amica Models &amp; Co.</t>
  </si>
  <si>
    <t>Anna's Decorations, Ltd</t>
  </si>
  <si>
    <t>Atelier graphique</t>
  </si>
  <si>
    <t>Australian Collectables, Ltd</t>
  </si>
  <si>
    <t>Australian Collectors, Co.</t>
  </si>
  <si>
    <t>Australian Gift Network, Co</t>
  </si>
  <si>
    <t>Auto-Moto Classics Inc.</t>
  </si>
  <si>
    <t>Auto Associ s &amp; Cie.</t>
  </si>
  <si>
    <t>Auto Canal+ Petit</t>
  </si>
  <si>
    <t>AV Stores, Co.</t>
  </si>
  <si>
    <t>Baane Mini Imports</t>
  </si>
  <si>
    <t>Bavarian Collectables Imports, Co.</t>
  </si>
  <si>
    <t>Blauer See Auto, Co.</t>
  </si>
  <si>
    <t>Boards &amp; Toys Co.</t>
  </si>
  <si>
    <t>CAF Imports</t>
  </si>
  <si>
    <t>Cambridge Collectables Co.</t>
  </si>
  <si>
    <t>Canadian Gift Exchange Network</t>
  </si>
  <si>
    <t>Classic Gift Ideas, Inc</t>
  </si>
  <si>
    <t>Classic Legends Inc.</t>
  </si>
  <si>
    <t>Clover Collections, Co.</t>
  </si>
  <si>
    <t>Collectable Mini Designs Co.</t>
  </si>
  <si>
    <t>Collectables For Less Inc.</t>
  </si>
  <si>
    <t>Corporate Gift Ideas Co.</t>
  </si>
  <si>
    <t>Corrida Auto Replicas, Ltd</t>
  </si>
  <si>
    <t>Cruz &amp; Sons Co.</t>
  </si>
  <si>
    <t>Daedalus Designs Imports</t>
  </si>
  <si>
    <t>Danish Wholesale Imports</t>
  </si>
  <si>
    <t>Diecast Classics Inc.</t>
  </si>
  <si>
    <t>Diecast Collectables</t>
  </si>
  <si>
    <t>Double Decker Gift Stores, Ltd</t>
  </si>
  <si>
    <t>Down Under Souveniers, Inc</t>
  </si>
  <si>
    <t>Dragon Souveniers, Ltd.</t>
  </si>
  <si>
    <t>Enaco Distributors</t>
  </si>
  <si>
    <t>Euro+ Shopping Channel</t>
  </si>
  <si>
    <t>Extreme Desk Decorations, Ltd</t>
  </si>
  <si>
    <t>Frau da Collezione</t>
  </si>
  <si>
    <t>FunGiftIdeas.com</t>
  </si>
  <si>
    <t>Gift Depot Inc.</t>
  </si>
  <si>
    <t>Gift Ideas Corp.</t>
  </si>
  <si>
    <t>Gifts4AllAges.com</t>
  </si>
  <si>
    <t>giftsbymail.co.uk</t>
  </si>
  <si>
    <t>GiftsForHim.com</t>
  </si>
  <si>
    <t>Handji Gifts&amp; Co</t>
  </si>
  <si>
    <t>Heintze Collectables</t>
  </si>
  <si>
    <t>Herkku Gifts</t>
  </si>
  <si>
    <t>Iberia Gift Imports, Corp.</t>
  </si>
  <si>
    <t>Kelly's Gift Shop</t>
  </si>
  <si>
    <t>King Kong Collectables, Co.</t>
  </si>
  <si>
    <t>L'ordine Souveniers</t>
  </si>
  <si>
    <t>La Corne D'abondance, Co.</t>
  </si>
  <si>
    <t>La Rochelle Gifts</t>
  </si>
  <si>
    <t>Land of Toys Inc.</t>
  </si>
  <si>
    <t>Lyon Souveniers</t>
  </si>
  <si>
    <t>Marseille Mini Autos</t>
  </si>
  <si>
    <t>Marta's Replicas Co.</t>
  </si>
  <si>
    <t>Men 'R' US Retailers, Ltd.</t>
  </si>
  <si>
    <t>Microscale Inc.</t>
  </si>
  <si>
    <t>Mini Auto Werke</t>
  </si>
  <si>
    <t>Mini Caravy</t>
  </si>
  <si>
    <t>Mini Classics</t>
  </si>
  <si>
    <t>Mini Creations Ltd.</t>
  </si>
  <si>
    <t>Mini Gifts Distributors Ltd.</t>
  </si>
  <si>
    <t>Mini Wheels Co.</t>
  </si>
  <si>
    <t>Motor Mint Distributors Inc.</t>
  </si>
  <si>
    <t>Muscle Machine Inc</t>
  </si>
  <si>
    <t>Norway Gifts By Mail, Co.</t>
  </si>
  <si>
    <t>Online Diecast Creations Co.</t>
  </si>
  <si>
    <t>Online Mini Collectables</t>
  </si>
  <si>
    <t>Osaka Souveniers Co.</t>
  </si>
  <si>
    <t>Oulu Toy Supplies, Inc.</t>
  </si>
  <si>
    <t>Petit Auto</t>
  </si>
  <si>
    <t>Qu bec Home Shopping Network</t>
  </si>
  <si>
    <t>Reims Collectables</t>
  </si>
  <si>
    <t>Rovelli Gifts</t>
  </si>
  <si>
    <t>Royal Canadian Collectables, Ltd.</t>
  </si>
  <si>
    <t>Royale Belge</t>
  </si>
  <si>
    <t>Salzburg Collectables</t>
  </si>
  <si>
    <t>Saveley &amp; Henriot, Co.</t>
  </si>
  <si>
    <t>Scandinavian Gift Ideas</t>
  </si>
  <si>
    <t>Signal Collectibles Ltd.</t>
  </si>
  <si>
    <t>Signal Gift Stores</t>
  </si>
  <si>
    <t>Souveniers And Things Co.</t>
  </si>
  <si>
    <t>Stylish Desk Decors, Co.</t>
  </si>
  <si>
    <t>Suominen Souveniers</t>
  </si>
  <si>
    <t>Super Scale Inc.</t>
  </si>
  <si>
    <t>Technics Stores Inc.</t>
  </si>
  <si>
    <t>Tekni Collectables Inc.</t>
  </si>
  <si>
    <t>The Sharp Gifts Warehouse</t>
  </si>
  <si>
    <t>Tokyo Collectables, Ltd</t>
  </si>
  <si>
    <t>Toms Spezialit ten, Ltd</t>
  </si>
  <si>
    <t>Toys of Finland, Co.</t>
  </si>
  <si>
    <t>Toys4GrownUps.com</t>
  </si>
  <si>
    <t>UK Collectables, Ltd.</t>
  </si>
  <si>
    <t>Vida Sport, Ltd</t>
  </si>
  <si>
    <t>Vitachrome Inc.</t>
  </si>
  <si>
    <t>Volvo Model Replicas, Co</t>
  </si>
  <si>
    <t>West Coast Collectables Co.</t>
  </si>
  <si>
    <t>order_rank</t>
  </si>
  <si>
    <t>(All)</t>
  </si>
  <si>
    <t>value_change_type</t>
  </si>
  <si>
    <t>First Order Amount</t>
  </si>
  <si>
    <t>current_amount_ordered</t>
  </si>
  <si>
    <t>Second Order Amount</t>
  </si>
  <si>
    <t>Customer</t>
  </si>
  <si>
    <t>%  Value Change</t>
  </si>
  <si>
    <t>Number of Orders</t>
  </si>
  <si>
    <t>Lifetime Order Amount</t>
  </si>
  <si>
    <t>Average Order Value Change</t>
  </si>
  <si>
    <t>Average  Value Change by  Order Count</t>
  </si>
  <si>
    <t>Percent and dollar change relative to first order</t>
  </si>
  <si>
    <t>Customer Lifetime Order Value</t>
  </si>
  <si>
    <t>Second Order % Change (vs First Order)</t>
  </si>
  <si>
    <t>Second Order Amount Change (vs First Order)</t>
  </si>
  <si>
    <t>Percent and Dollar Change Relative to First Order</t>
  </si>
  <si>
    <t>Order Amount Difference</t>
  </si>
  <si>
    <t>Count of order_rank</t>
  </si>
  <si>
    <r>
      <t>Note:</t>
    </r>
    <r>
      <rPr>
        <sz val="11"/>
        <color theme="1"/>
        <rFont val="Aptos Narrow"/>
        <family val="2"/>
        <scheme val="minor"/>
      </rPr>
      <t xml:space="preserve"> High-volume customers were excluded from this view to preserve scale and interpretability:</t>
    </r>
  </si>
  <si>
    <t>• Euro+ Shopping Channel (26 orders)</t>
  </si>
  <si>
    <t>• Mini Gifts Distributors Ltd. (17 orders)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</si>
</sst>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44" fontId="0" fillId="0" borderId="0" xfId="1" applyFont="1"/>
    <xf numFmtId="0" fontId="0" fillId="0" borderId="0" xfId="0" pivotButton="1" applyAlignment="1">
      <alignment horizontal="left"/>
    </xf>
    <xf numFmtId="10" fontId="0" fillId="0" borderId="0" xfId="0" applyNumberFormat="1"/>
    <xf numFmtId="0" fontId="0" fillId="0" borderId="0" xfId="0" applyAlignment="1">
      <alignment horizontal="right"/>
    </xf>
    <xf numFmtId="0" fontId="3" fillId="2" borderId="0" xfId="0" applyFont="1" applyFill="1" applyAlignment="1">
      <alignment horizontal="center" vertical="center"/>
    </xf>
    <xf numFmtId="0" fontId="0" fillId="0" borderId="0" xfId="0" applyNumberFormat="1"/>
    <xf numFmtId="0" fontId="4" fillId="4" borderId="0" xfId="0" applyFont="1" applyFill="1" applyAlignment="1"/>
    <xf numFmtId="0" fontId="3" fillId="3" borderId="0" xfId="0" applyFont="1" applyFill="1" applyAlignment="1">
      <alignment vertical="center"/>
    </xf>
    <xf numFmtId="0" fontId="4" fillId="0" borderId="0" xfId="0" applyFont="1" applyFill="1" applyAlignment="1"/>
    <xf numFmtId="0" fontId="2" fillId="5" borderId="0" xfId="0" applyFont="1" applyFill="1"/>
    <xf numFmtId="0" fontId="0" fillId="5" borderId="0" xfId="0" applyFill="1"/>
  </cellXfs>
  <cellStyles count="2">
    <cellStyle name="Currency" xfId="1" builtinId="4"/>
    <cellStyle name="Normal" xfId="0" builtinId="0"/>
  </cellStyles>
  <dxfs count="72">
    <dxf>
      <numFmt numFmtId="34" formatCode="_(&quot;$&quot;* #,##0.00_);_(&quot;$&quot;* \(#,##0.00\);_(&quot;$&quot;* &quot;-&quot;??_);_(@_)"/>
    </dxf>
    <dxf>
      <numFmt numFmtId="14" formatCode="0.00%"/>
    </dxf>
    <dxf>
      <alignment horizontal="right"/>
    </dxf>
    <dxf>
      <numFmt numFmtId="34" formatCode="_(&quot;$&quot;* #,##0.00_);_(&quot;$&quot;* \(#,##0.00\);_(&quot;$&quot;* &quot;-&quot;??_);_(@_)"/>
    </dxf>
    <dxf>
      <numFmt numFmtId="14" formatCode="0.00%"/>
    </dxf>
    <dxf>
      <alignment horizontal="right"/>
    </dxf>
    <dxf>
      <numFmt numFmtId="34" formatCode="_(&quot;$&quot;* #,##0.00_);_(&quot;$&quot;* \(#,##0.00\);_(&quot;$&quot;* &quot;-&quot;??_);_(@_)"/>
    </dxf>
    <dxf>
      <numFmt numFmtId="14" formatCode="0.00%"/>
    </dxf>
    <dxf>
      <alignment horizontal="right"/>
    </dxf>
    <dxf>
      <numFmt numFmtId="34" formatCode="_(&quot;$&quot;* #,##0.00_);_(&quot;$&quot;* \(#,##0.00\);_(&quot;$&quot;* &quot;-&quot;??_);_(@_)"/>
    </dxf>
    <dxf>
      <numFmt numFmtId="14" formatCode="0.00%"/>
    </dxf>
    <dxf>
      <alignment horizontal="right"/>
    </dxf>
    <dxf>
      <numFmt numFmtId="34" formatCode="_(&quot;$&quot;* #,##0.00_);_(&quot;$&quot;* \(#,##0.00\);_(&quot;$&quot;* &quot;-&quot;??_);_(@_)"/>
    </dxf>
    <dxf>
      <numFmt numFmtId="14" formatCode="0.00%"/>
    </dxf>
    <dxf>
      <alignment horizontal="right"/>
    </dxf>
    <dxf>
      <numFmt numFmtId="34" formatCode="_(&quot;$&quot;* #,##0.00_);_(&quot;$&quot;* \(#,##0.00\);_(&quot;$&quot;* &quot;-&quot;??_);_(@_)"/>
    </dxf>
    <dxf>
      <numFmt numFmtId="14" formatCode="0.00%"/>
    </dxf>
    <dxf>
      <alignment horizontal="right"/>
    </dxf>
    <dxf>
      <numFmt numFmtId="34" formatCode="_(&quot;$&quot;* #,##0.00_);_(&quot;$&quot;* \(#,##0.00\);_(&quot;$&quot;* &quot;-&quot;??_);_(@_)"/>
    </dxf>
    <dxf>
      <numFmt numFmtId="14" formatCode="0.00%"/>
    </dxf>
    <dxf>
      <alignment horizontal="right"/>
    </dxf>
    <dxf>
      <numFmt numFmtId="34" formatCode="_(&quot;$&quot;* #,##0.00_);_(&quot;$&quot;* \(#,##0.00\);_(&quot;$&quot;* &quot;-&quot;??_);_(@_)"/>
    </dxf>
    <dxf>
      <numFmt numFmtId="14" formatCode="0.00%"/>
    </dxf>
    <dxf>
      <alignment horizontal="right"/>
    </dxf>
    <dxf>
      <numFmt numFmtId="34" formatCode="_(&quot;$&quot;* #,##0.00_);_(&quot;$&quot;* \(#,##0.00\);_(&quot;$&quot;* &quot;-&quot;??_);_(@_)"/>
    </dxf>
    <dxf>
      <numFmt numFmtId="14" formatCode="0.00%"/>
    </dxf>
    <dxf>
      <alignment horizontal="right"/>
    </dxf>
    <dxf>
      <numFmt numFmtId="34" formatCode="_(&quot;$&quot;* #,##0.00_);_(&quot;$&quot;* \(#,##0.00\);_(&quot;$&quot;* &quot;-&quot;??_);_(@_)"/>
    </dxf>
    <dxf>
      <numFmt numFmtId="14" formatCode="0.00%"/>
    </dxf>
    <dxf>
      <alignment horizontal="right"/>
    </dxf>
    <dxf>
      <numFmt numFmtId="34" formatCode="_(&quot;$&quot;* #,##0.00_);_(&quot;$&quot;* \(#,##0.00\);_(&quot;$&quot;* &quot;-&quot;??_);_(@_)"/>
    </dxf>
    <dxf>
      <numFmt numFmtId="14" formatCode="0.00%"/>
    </dxf>
    <dxf>
      <alignment horizontal="right"/>
    </dxf>
    <dxf>
      <numFmt numFmtId="34" formatCode="_(&quot;$&quot;* #,##0.00_);_(&quot;$&quot;* \(#,##0.00\);_(&quot;$&quot;* &quot;-&quot;??_);_(@_)"/>
    </dxf>
    <dxf>
      <numFmt numFmtId="14" formatCode="0.00%"/>
    </dxf>
    <dxf>
      <alignment horizontal="right"/>
    </dxf>
    <dxf>
      <numFmt numFmtId="34" formatCode="_(&quot;$&quot;* #,##0.00_);_(&quot;$&quot;* \(#,##0.00\);_(&quot;$&quot;* &quot;-&quot;??_);_(@_)"/>
    </dxf>
    <dxf>
      <numFmt numFmtId="14" formatCode="0.00%"/>
    </dxf>
    <dxf>
      <alignment horizontal="right"/>
    </dxf>
    <dxf>
      <numFmt numFmtId="34" formatCode="_(&quot;$&quot;* #,##0.00_);_(&quot;$&quot;* \(#,##0.00\);_(&quot;$&quot;* &quot;-&quot;??_);_(@_)"/>
    </dxf>
    <dxf>
      <numFmt numFmtId="14" formatCode="0.00%"/>
    </dxf>
    <dxf>
      <alignment horizontal="right"/>
    </dxf>
    <dxf>
      <fill>
        <patternFill>
          <bgColor rgb="FFFABEBE"/>
        </patternFill>
      </fill>
    </dxf>
    <dxf>
      <fill>
        <patternFill>
          <bgColor rgb="FFB4E6A2"/>
        </patternFill>
      </fill>
    </dxf>
    <dxf>
      <fill>
        <patternFill>
          <bgColor rgb="FFFABEBE"/>
        </patternFill>
      </fill>
    </dxf>
    <dxf>
      <fill>
        <patternFill>
          <bgColor rgb="FFB4E6A2"/>
        </patternFill>
      </fill>
    </dxf>
    <dxf>
      <fill>
        <patternFill>
          <bgColor rgb="FFFABEBE"/>
        </patternFill>
      </fill>
    </dxf>
    <dxf>
      <fill>
        <patternFill>
          <bgColor rgb="FFB4E6A2"/>
        </patternFill>
      </fill>
    </dxf>
    <dxf>
      <fill>
        <patternFill>
          <bgColor rgb="FFFFF0B7"/>
        </patternFill>
      </fill>
    </dxf>
    <dxf>
      <alignment horizontal="right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4" formatCode="0.00%"/>
    </dxf>
    <dxf>
      <alignment horizontal="right"/>
    </dxf>
    <dxf>
      <numFmt numFmtId="34" formatCode="_(&quot;$&quot;* #,##0.00_);_(&quot;$&quot;* \(#,##0.00\);_(&quot;$&quot;* &quot;-&quot;??_);_(@_)"/>
    </dxf>
    <dxf>
      <alignment horizontal="right"/>
    </dxf>
    <dxf>
      <alignment horizontal="right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alignment horizontal="center"/>
    </dxf>
    <dxf>
      <alignment vertical="center"/>
    </dxf>
    <dxf>
      <alignment horizontal="left"/>
    </dxf>
    <dxf>
      <alignment vertical="bottom"/>
    </dxf>
    <dxf>
      <alignment horizontal="right"/>
    </dxf>
    <dxf>
      <numFmt numFmtId="14" formatCode="0.00%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colors>
    <mruColors>
      <color rgb="FFFABEBE"/>
      <color rgb="FFB4E6A2"/>
      <color rgb="FFFDA1A1"/>
      <color rgb="FFF58B8B"/>
      <color rgb="FFFFF0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[first_orders_anlysis.xlsx]Pivot Tables!PivotTable1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</a:t>
            </a:r>
            <a:r>
              <a:rPr lang="en-US" b="1" baseline="0"/>
              <a:t> Value Change by Order Count</a:t>
            </a:r>
            <a:endParaRPr lang="en-US" b="1"/>
          </a:p>
        </c:rich>
      </c:tx>
      <c:layout>
        <c:manualLayout>
          <c:xMode val="edge"/>
          <c:yMode val="edge"/>
          <c:x val="0.32614439324116745"/>
          <c:y val="3.04780707504608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Tables'!$C$8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Tables'!$B$9:$B$34</c:f>
              <c:strCach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strCache>
            </c:strRef>
          </c:cat>
          <c:val>
            <c:numRef>
              <c:f>'Pivot Tables'!$C$9:$C$34</c:f>
              <c:numCache>
                <c:formatCode>_("$"* #,##0.00_);_("$"* \(#,##0.00\);_("$"* "-"??_);_(@_)</c:formatCode>
                <c:ptCount val="26"/>
                <c:pt idx="0">
                  <c:v>0</c:v>
                </c:pt>
                <c:pt idx="1">
                  <c:v>-2648.3557731958763</c:v>
                </c:pt>
                <c:pt idx="2">
                  <c:v>879.68522388059682</c:v>
                </c:pt>
                <c:pt idx="3">
                  <c:v>-3971.3741666666679</c:v>
                </c:pt>
                <c:pt idx="4">
                  <c:v>-2351.0871428571431</c:v>
                </c:pt>
                <c:pt idx="5">
                  <c:v>91.965000000000146</c:v>
                </c:pt>
                <c:pt idx="6">
                  <c:v>19944.879999999997</c:v>
                </c:pt>
                <c:pt idx="7">
                  <c:v>-9671.8449999999993</c:v>
                </c:pt>
                <c:pt idx="8">
                  <c:v>-1200.9150000000009</c:v>
                </c:pt>
                <c:pt idx="9">
                  <c:v>267.59000000000015</c:v>
                </c:pt>
                <c:pt idx="10">
                  <c:v>-8768.34</c:v>
                </c:pt>
                <c:pt idx="11">
                  <c:v>16453.705000000002</c:v>
                </c:pt>
                <c:pt idx="12">
                  <c:v>-7213.8900000000012</c:v>
                </c:pt>
                <c:pt idx="13">
                  <c:v>-13584.014999999999</c:v>
                </c:pt>
                <c:pt idx="14">
                  <c:v>30894.285</c:v>
                </c:pt>
                <c:pt idx="15">
                  <c:v>-24585.17</c:v>
                </c:pt>
                <c:pt idx="16">
                  <c:v>-700.3799999999992</c:v>
                </c:pt>
                <c:pt idx="17">
                  <c:v>-27564.19</c:v>
                </c:pt>
                <c:pt idx="18">
                  <c:v>15667.85</c:v>
                </c:pt>
                <c:pt idx="19">
                  <c:v>2115.09</c:v>
                </c:pt>
                <c:pt idx="20">
                  <c:v>2447.77</c:v>
                </c:pt>
                <c:pt idx="21">
                  <c:v>10116.540000000001</c:v>
                </c:pt>
                <c:pt idx="22">
                  <c:v>-28865.78</c:v>
                </c:pt>
                <c:pt idx="23">
                  <c:v>28792.74</c:v>
                </c:pt>
                <c:pt idx="24">
                  <c:v>-18320.580000000002</c:v>
                </c:pt>
                <c:pt idx="25">
                  <c:v>735.4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03-4966-958C-A1578C4A2CB8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0297264"/>
        <c:axId val="820308784"/>
      </c:lineChart>
      <c:catAx>
        <c:axId val="82029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308784"/>
        <c:crosses val="autoZero"/>
        <c:auto val="1"/>
        <c:lblAlgn val="ctr"/>
        <c:lblOffset val="100"/>
        <c:noMultiLvlLbl val="0"/>
      </c:catAx>
      <c:valAx>
        <c:axId val="820308784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820297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[first_orders_anlysis.xlsx]Sheet1!PivotTable5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 20 Percent Change </a:t>
            </a:r>
            <a:r>
              <a:rPr lang="en-US" b="1" baseline="0"/>
              <a:t> </a:t>
            </a:r>
          </a:p>
          <a:p>
            <a:pPr>
              <a:defRPr b="1"/>
            </a:pPr>
            <a:r>
              <a:rPr lang="en-US" b="1" baseline="0"/>
              <a:t>Second Order vs First Order</a:t>
            </a:r>
            <a:endParaRPr lang="en-US" b="1"/>
          </a:p>
        </c:rich>
      </c:tx>
      <c:layout>
        <c:manualLayout>
          <c:xMode val="edge"/>
          <c:yMode val="edge"/>
          <c:x val="0.35150136791130177"/>
          <c:y val="5.30708661417322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0817033337627788E-2"/>
          <c:y val="0.2000669472767517"/>
          <c:w val="0.90800876069509595"/>
          <c:h val="0.5395300990601981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Sheet1!$G$8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Sheet1!$F$9:$F$28</c:f>
              <c:strCache>
                <c:ptCount val="20"/>
                <c:pt idx="0">
                  <c:v>Microscale Inc.</c:v>
                </c:pt>
                <c:pt idx="1">
                  <c:v>Enaco Distributors</c:v>
                </c:pt>
                <c:pt idx="2">
                  <c:v>Down Under Souveniers, Inc</c:v>
                </c:pt>
                <c:pt idx="3">
                  <c:v>Auto Associ s &amp; Cie.</c:v>
                </c:pt>
                <c:pt idx="4">
                  <c:v>Online Diecast Creations Co.</c:v>
                </c:pt>
                <c:pt idx="5">
                  <c:v>Mini Gifts Distributors Ltd.</c:v>
                </c:pt>
                <c:pt idx="6">
                  <c:v>FunGiftIdeas.com</c:v>
                </c:pt>
                <c:pt idx="7">
                  <c:v>West Coast Collectables Co.</c:v>
                </c:pt>
                <c:pt idx="8">
                  <c:v>Tekni Collectables Inc.</c:v>
                </c:pt>
                <c:pt idx="9">
                  <c:v>Vitachrome Inc.</c:v>
                </c:pt>
                <c:pt idx="10">
                  <c:v>Petit Auto</c:v>
                </c:pt>
                <c:pt idx="11">
                  <c:v>Australian Gift Network, Co</c:v>
                </c:pt>
                <c:pt idx="12">
                  <c:v>Alpha Cognac</c:v>
                </c:pt>
                <c:pt idx="13">
                  <c:v>Blauer See Auto, Co.</c:v>
                </c:pt>
                <c:pt idx="14">
                  <c:v>Tokyo Collectables, Ltd</c:v>
                </c:pt>
                <c:pt idx="15">
                  <c:v>Volvo Model Replicas, Co</c:v>
                </c:pt>
                <c:pt idx="16">
                  <c:v>Toms Spezialit ten, Ltd</c:v>
                </c:pt>
                <c:pt idx="17">
                  <c:v>Handji Gifts&amp; Co</c:v>
                </c:pt>
                <c:pt idx="18">
                  <c:v>UK Collectables, Ltd.</c:v>
                </c:pt>
                <c:pt idx="19">
                  <c:v>giftsbymail.co.uk</c:v>
                </c:pt>
              </c:strCache>
            </c:strRef>
          </c:cat>
          <c:val>
            <c:numRef>
              <c:f>Sheet1!$G$9:$G$28</c:f>
              <c:numCache>
                <c:formatCode>0.00%</c:formatCode>
                <c:ptCount val="20"/>
                <c:pt idx="0">
                  <c:v>15.399894042573454</c:v>
                </c:pt>
                <c:pt idx="1">
                  <c:v>12.05019023666731</c:v>
                </c:pt>
                <c:pt idx="2">
                  <c:v>11.944916666666668</c:v>
                </c:pt>
                <c:pt idx="3">
                  <c:v>8.2226283202127988</c:v>
                </c:pt>
                <c:pt idx="4">
                  <c:v>4.4212335299002428</c:v>
                </c:pt>
                <c:pt idx="5">
                  <c:v>4.0344376737321515</c:v>
                </c:pt>
                <c:pt idx="6">
                  <c:v>3.8463216023492039</c:v>
                </c:pt>
                <c:pt idx="7">
                  <c:v>3.6977462312375868</c:v>
                </c:pt>
                <c:pt idx="8">
                  <c:v>3.3326818654177797</c:v>
                </c:pt>
                <c:pt idx="9">
                  <c:v>3.113424013336294</c:v>
                </c:pt>
                <c:pt idx="10">
                  <c:v>1.6833589919876364</c:v>
                </c:pt>
                <c:pt idx="11">
                  <c:v>1.4372009057845585</c:v>
                </c:pt>
                <c:pt idx="12">
                  <c:v>1.3761015127136802</c:v>
                </c:pt>
                <c:pt idx="13">
                  <c:v>1.284746151534599</c:v>
                </c:pt>
                <c:pt idx="14">
                  <c:v>1.2201579006357681</c:v>
                </c:pt>
                <c:pt idx="15">
                  <c:v>1.1888158083320521</c:v>
                </c:pt>
                <c:pt idx="16">
                  <c:v>1.1878534267861014</c:v>
                </c:pt>
                <c:pt idx="17">
                  <c:v>0.9649633334623704</c:v>
                </c:pt>
                <c:pt idx="18">
                  <c:v>0.90074802662178388</c:v>
                </c:pt>
                <c:pt idx="19">
                  <c:v>0.87185429761466104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17-444A-AF8A-2449A4A37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7224960"/>
        <c:axId val="177218240"/>
      </c:barChart>
      <c:catAx>
        <c:axId val="17722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18240"/>
        <c:crosses val="autoZero"/>
        <c:auto val="1"/>
        <c:lblAlgn val="ctr"/>
        <c:lblOffset val="100"/>
        <c:noMultiLvlLbl val="0"/>
      </c:catAx>
      <c:valAx>
        <c:axId val="177218240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722496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[first_orders_anlysis.xlsx]Sheet1!PivotTable7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Customer Life Time Order Amount</a:t>
            </a:r>
          </a:p>
        </c:rich>
      </c:tx>
      <c:layout>
        <c:manualLayout>
          <c:xMode val="edge"/>
          <c:yMode val="edge"/>
          <c:x val="0.37760394550064907"/>
          <c:y val="7.45073050839743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Sheet1!$M$6</c:f>
              <c:strCache>
                <c:ptCount val="1"/>
                <c:pt idx="0">
                  <c:v>Lifetime Order Amount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Sheet1!$L$7:$L$26</c:f>
              <c:strCache>
                <c:ptCount val="20"/>
                <c:pt idx="0">
                  <c:v>L'ordine Souveniers</c:v>
                </c:pt>
                <c:pt idx="1">
                  <c:v>Reims Collectables</c:v>
                </c:pt>
                <c:pt idx="2">
                  <c:v>Rovelli Gifts</c:v>
                </c:pt>
                <c:pt idx="3">
                  <c:v>Danish Wholesale Imports</c:v>
                </c:pt>
                <c:pt idx="4">
                  <c:v>Saveley &amp; Henriot, Co.</c:v>
                </c:pt>
                <c:pt idx="5">
                  <c:v>Corporate Gift Ideas Co.</c:v>
                </c:pt>
                <c:pt idx="6">
                  <c:v>Souveniers And Things Co.</c:v>
                </c:pt>
                <c:pt idx="7">
                  <c:v>Anna's Decorations, Ltd</c:v>
                </c:pt>
                <c:pt idx="8">
                  <c:v>Kelly's Gift Shop</c:v>
                </c:pt>
                <c:pt idx="9">
                  <c:v>Salzburg Collectables</c:v>
                </c:pt>
                <c:pt idx="10">
                  <c:v>The Sharp Gifts Warehouse</c:v>
                </c:pt>
                <c:pt idx="11">
                  <c:v>AV Stores, Co.</c:v>
                </c:pt>
                <c:pt idx="12">
                  <c:v>Land of Toys Inc.</c:v>
                </c:pt>
                <c:pt idx="13">
                  <c:v>Down Under Souveniers, Inc</c:v>
                </c:pt>
                <c:pt idx="14">
                  <c:v>Dragon Souveniers, Ltd.</c:v>
                </c:pt>
                <c:pt idx="15">
                  <c:v>La Rochelle Gifts</c:v>
                </c:pt>
                <c:pt idx="16">
                  <c:v>Muscle Machine Inc</c:v>
                </c:pt>
                <c:pt idx="17">
                  <c:v>Australian Collectors, Co.</c:v>
                </c:pt>
                <c:pt idx="18">
                  <c:v>Mini Gifts Distributors Ltd.</c:v>
                </c:pt>
                <c:pt idx="19">
                  <c:v>Euro+ Shopping Channel</c:v>
                </c:pt>
              </c:strCache>
            </c:strRef>
          </c:cat>
          <c:val>
            <c:numRef>
              <c:f>Sheet1!$M$7:$M$26</c:f>
              <c:numCache>
                <c:formatCode>_("$"* #,##0.00_);_("$"* \(#,##0.00\);_("$"* "-"??_);_(@_)</c:formatCode>
                <c:ptCount val="20"/>
                <c:pt idx="0">
                  <c:v>125505.57</c:v>
                </c:pt>
                <c:pt idx="1">
                  <c:v>126983.19</c:v>
                </c:pt>
                <c:pt idx="2">
                  <c:v>127529.69</c:v>
                </c:pt>
                <c:pt idx="3">
                  <c:v>129085.12</c:v>
                </c:pt>
                <c:pt idx="4">
                  <c:v>130305.35</c:v>
                </c:pt>
                <c:pt idx="5">
                  <c:v>132340.78</c:v>
                </c:pt>
                <c:pt idx="6">
                  <c:v>133907.12</c:v>
                </c:pt>
                <c:pt idx="7">
                  <c:v>137034.22</c:v>
                </c:pt>
                <c:pt idx="8">
                  <c:v>137460.78999999998</c:v>
                </c:pt>
                <c:pt idx="9">
                  <c:v>137480.07</c:v>
                </c:pt>
                <c:pt idx="10">
                  <c:v>143536.27000000002</c:v>
                </c:pt>
                <c:pt idx="11">
                  <c:v>148410.09000000003</c:v>
                </c:pt>
                <c:pt idx="12">
                  <c:v>149085.15</c:v>
                </c:pt>
                <c:pt idx="13">
                  <c:v>154622.07999999999</c:v>
                </c:pt>
                <c:pt idx="14">
                  <c:v>156251.03000000003</c:v>
                </c:pt>
                <c:pt idx="15">
                  <c:v>158573.12</c:v>
                </c:pt>
                <c:pt idx="16">
                  <c:v>177913.95</c:v>
                </c:pt>
                <c:pt idx="17">
                  <c:v>180585.07</c:v>
                </c:pt>
                <c:pt idx="18">
                  <c:v>591827.34</c:v>
                </c:pt>
                <c:pt idx="19">
                  <c:v>820689.54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68-4B93-B12C-03FD86B74BA7}"/>
            </c:ext>
          </c:extLst>
        </c:ser>
        <c:ser>
          <c:idx val="1"/>
          <c:order val="1"/>
          <c:tx>
            <c:strRef>
              <c:f>Sheet1!$N$6</c:f>
              <c:strCache>
                <c:ptCount val="1"/>
                <c:pt idx="0">
                  <c:v>Count of order_rank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Sheet1!$L$7:$L$26</c:f>
              <c:strCache>
                <c:ptCount val="20"/>
                <c:pt idx="0">
                  <c:v>L'ordine Souveniers</c:v>
                </c:pt>
                <c:pt idx="1">
                  <c:v>Reims Collectables</c:v>
                </c:pt>
                <c:pt idx="2">
                  <c:v>Rovelli Gifts</c:v>
                </c:pt>
                <c:pt idx="3">
                  <c:v>Danish Wholesale Imports</c:v>
                </c:pt>
                <c:pt idx="4">
                  <c:v>Saveley &amp; Henriot, Co.</c:v>
                </c:pt>
                <c:pt idx="5">
                  <c:v>Corporate Gift Ideas Co.</c:v>
                </c:pt>
                <c:pt idx="6">
                  <c:v>Souveniers And Things Co.</c:v>
                </c:pt>
                <c:pt idx="7">
                  <c:v>Anna's Decorations, Ltd</c:v>
                </c:pt>
                <c:pt idx="8">
                  <c:v>Kelly's Gift Shop</c:v>
                </c:pt>
                <c:pt idx="9">
                  <c:v>Salzburg Collectables</c:v>
                </c:pt>
                <c:pt idx="10">
                  <c:v>The Sharp Gifts Warehouse</c:v>
                </c:pt>
                <c:pt idx="11">
                  <c:v>AV Stores, Co.</c:v>
                </c:pt>
                <c:pt idx="12">
                  <c:v>Land of Toys Inc.</c:v>
                </c:pt>
                <c:pt idx="13">
                  <c:v>Down Under Souveniers, Inc</c:v>
                </c:pt>
                <c:pt idx="14">
                  <c:v>Dragon Souveniers, Ltd.</c:v>
                </c:pt>
                <c:pt idx="15">
                  <c:v>La Rochelle Gifts</c:v>
                </c:pt>
                <c:pt idx="16">
                  <c:v>Muscle Machine Inc</c:v>
                </c:pt>
                <c:pt idx="17">
                  <c:v>Australian Collectors, Co.</c:v>
                </c:pt>
                <c:pt idx="18">
                  <c:v>Mini Gifts Distributors Ltd.</c:v>
                </c:pt>
                <c:pt idx="19">
                  <c:v>Euro+ Shopping Channel</c:v>
                </c:pt>
              </c:strCache>
            </c:strRef>
          </c:cat>
          <c:val>
            <c:numRef>
              <c:f>Sheet1!$N$7:$N$26</c:f>
              <c:numCache>
                <c:formatCode>General</c:formatCode>
                <c:ptCount val="20"/>
                <c:pt idx="0">
                  <c:v>3</c:v>
                </c:pt>
                <c:pt idx="1">
                  <c:v>5</c:v>
                </c:pt>
                <c:pt idx="2">
                  <c:v>3</c:v>
                </c:pt>
                <c:pt idx="3">
                  <c:v>5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4</c:v>
                </c:pt>
                <c:pt idx="13">
                  <c:v>5</c:v>
                </c:pt>
                <c:pt idx="14">
                  <c:v>5</c:v>
                </c:pt>
                <c:pt idx="15">
                  <c:v>4</c:v>
                </c:pt>
                <c:pt idx="16">
                  <c:v>4</c:v>
                </c:pt>
                <c:pt idx="17">
                  <c:v>5</c:v>
                </c:pt>
                <c:pt idx="18">
                  <c:v>17</c:v>
                </c:pt>
                <c:pt idx="19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68-4B93-B12C-03FD86B74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240320"/>
        <c:axId val="177238400"/>
      </c:barChart>
      <c:catAx>
        <c:axId val="177240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38400"/>
        <c:crosses val="autoZero"/>
        <c:auto val="1"/>
        <c:lblAlgn val="ctr"/>
        <c:lblOffset val="100"/>
        <c:noMultiLvlLbl val="0"/>
      </c:catAx>
      <c:valAx>
        <c:axId val="177238400"/>
        <c:scaling>
          <c:orientation val="minMax"/>
        </c:scaling>
        <c:delete val="1"/>
        <c:axPos val="b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77240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[first_orders_anlysis.xlsx]Sheet1!PivotTable6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Top 20 Order Amount  </a:t>
            </a:r>
          </a:p>
          <a:p>
            <a:pPr>
              <a:defRPr/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Second Order vs First Order</a:t>
            </a:r>
          </a:p>
        </c:rich>
      </c:tx>
      <c:layout>
        <c:manualLayout>
          <c:xMode val="edge"/>
          <c:yMode val="edge"/>
          <c:x val="0.34561837203672596"/>
          <c:y val="9.21574803149606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Sheet1!$J$8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Sheet1!$I$9:$I$28</c:f>
              <c:strCache>
                <c:ptCount val="20"/>
                <c:pt idx="0">
                  <c:v>Auto Associ s &amp; Cie.</c:v>
                </c:pt>
                <c:pt idx="1">
                  <c:v>Online Diecast Creations Co.</c:v>
                </c:pt>
                <c:pt idx="2">
                  <c:v>Mini Gifts Distributors Ltd.</c:v>
                </c:pt>
                <c:pt idx="3">
                  <c:v>FunGiftIdeas.com</c:v>
                </c:pt>
                <c:pt idx="4">
                  <c:v>Enaco Distributors</c:v>
                </c:pt>
                <c:pt idx="5">
                  <c:v>Down Under Souveniers, Inc</c:v>
                </c:pt>
                <c:pt idx="6">
                  <c:v>Toms Spezialit ten, Ltd</c:v>
                </c:pt>
                <c:pt idx="7">
                  <c:v>Petit Auto</c:v>
                </c:pt>
                <c:pt idx="8">
                  <c:v>West Coast Collectables Co.</c:v>
                </c:pt>
                <c:pt idx="9">
                  <c:v>Tokyo Collectables, Ltd</c:v>
                </c:pt>
                <c:pt idx="10">
                  <c:v>Microscale Inc.</c:v>
                </c:pt>
                <c:pt idx="11">
                  <c:v>Tekni Collectables Inc.</c:v>
                </c:pt>
                <c:pt idx="12">
                  <c:v>giftsbymail.co.uk</c:v>
                </c:pt>
                <c:pt idx="13">
                  <c:v>Handji Gifts&amp; Co</c:v>
                </c:pt>
                <c:pt idx="14">
                  <c:v>UK Collectables, Ltd.</c:v>
                </c:pt>
                <c:pt idx="15">
                  <c:v>Alpha Cognac</c:v>
                </c:pt>
                <c:pt idx="16">
                  <c:v>Land of Toys Inc.</c:v>
                </c:pt>
                <c:pt idx="17">
                  <c:v>Heintze Collectables</c:v>
                </c:pt>
                <c:pt idx="18">
                  <c:v>GiftsForHim.com</c:v>
                </c:pt>
                <c:pt idx="19">
                  <c:v>Gift Depot Inc.</c:v>
                </c:pt>
              </c:strCache>
            </c:strRef>
          </c:cat>
          <c:val>
            <c:numRef>
              <c:f>Sheet1!$J$9:$J$28</c:f>
              <c:numCache>
                <c:formatCode>_("$"* #,##0.00_);_("$"* \(#,##0.00\);_("$"* "-"??_);_(@_)</c:formatCode>
                <c:ptCount val="20"/>
                <c:pt idx="0">
                  <c:v>47357.57</c:v>
                </c:pt>
                <c:pt idx="1">
                  <c:v>45201.94</c:v>
                </c:pt>
                <c:pt idx="2">
                  <c:v>44557.54</c:v>
                </c:pt>
                <c:pt idx="3">
                  <c:v>38378.019999999997</c:v>
                </c:pt>
                <c:pt idx="4">
                  <c:v>37372.46</c:v>
                </c:pt>
                <c:pt idx="5">
                  <c:v>34401.360000000001</c:v>
                </c:pt>
                <c:pt idx="6">
                  <c:v>33246.199999999997</c:v>
                </c:pt>
                <c:pt idx="7">
                  <c:v>28451.09</c:v>
                </c:pt>
                <c:pt idx="8">
                  <c:v>28392.22</c:v>
                </c:pt>
                <c:pt idx="9">
                  <c:v>26889.73</c:v>
                </c:pt>
                <c:pt idx="10">
                  <c:v>25870.59</c:v>
                </c:pt>
                <c:pt idx="11">
                  <c:v>23924.19</c:v>
                </c:pt>
                <c:pt idx="12">
                  <c:v>21792.53</c:v>
                </c:pt>
                <c:pt idx="13">
                  <c:v>21686.75</c:v>
                </c:pt>
                <c:pt idx="14">
                  <c:v>21535.3</c:v>
                </c:pt>
                <c:pt idx="15">
                  <c:v>19585.64</c:v>
                </c:pt>
                <c:pt idx="16">
                  <c:v>19152.59</c:v>
                </c:pt>
                <c:pt idx="17">
                  <c:v>17580.88</c:v>
                </c:pt>
                <c:pt idx="18">
                  <c:v>17549.34</c:v>
                </c:pt>
                <c:pt idx="19">
                  <c:v>17165.689999999999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09-4BC9-8D8C-EC621FC0A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0287184"/>
        <c:axId val="820291024"/>
      </c:barChart>
      <c:catAx>
        <c:axId val="82028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291024"/>
        <c:crosses val="autoZero"/>
        <c:auto val="1"/>
        <c:lblAlgn val="ctr"/>
        <c:lblOffset val="100"/>
        <c:noMultiLvlLbl val="0"/>
      </c:catAx>
      <c:valAx>
        <c:axId val="820291024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82028718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165100</xdr:colOff>
      <xdr:row>24</xdr:row>
      <xdr:rowOff>165100</xdr:rowOff>
    </xdr:from>
    <xdr:to>
      <xdr:col>13</xdr:col>
      <xdr:colOff>488950</xdr:colOff>
      <xdr:row>53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B2B292-DEF7-4920-B2DD-665F30A484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12700</xdr:colOff>
      <xdr:row>1</xdr:row>
      <xdr:rowOff>25400</xdr:rowOff>
    </xdr:from>
    <xdr:to>
      <xdr:col>26</xdr:col>
      <xdr:colOff>374650</xdr:colOff>
      <xdr:row>26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65EEE83-F931-492A-9023-96F1542C5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152400</xdr:colOff>
      <xdr:row>1</xdr:row>
      <xdr:rowOff>12700</xdr:rowOff>
    </xdr:from>
    <xdr:to>
      <xdr:col>13</xdr:col>
      <xdr:colOff>476250</xdr:colOff>
      <xdr:row>24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4DBB444-A5BB-4514-B580-FE5FA70A02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26</xdr:row>
      <xdr:rowOff>152400</xdr:rowOff>
    </xdr:from>
    <xdr:to>
      <xdr:col>26</xdr:col>
      <xdr:colOff>387350</xdr:colOff>
      <xdr:row>54</xdr:row>
      <xdr:rowOff>6350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7C6DC28-ABB8-49A9-94E8-AA8986A4CF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S" refreshedDate="46082.28975196759" createdVersion="8" refreshedVersion="8" minRefreshableVersion="3" recordCount="326" xr:uid="{BF68F16B-1740-4017-BC1C-B8CE0689BFF9}">
  <cacheSource type="worksheet">
    <worksheetSource name="first_orders_analysis_1"/>
  </cacheSource>
  <cacheFields count="12">
    <cacheField name="customername" numFmtId="0">
      <sharedItems count="98">
        <s v="Alpha Cognac"/>
        <s v="Amica Models &amp; Co."/>
        <s v="Anna's Decorations, Ltd"/>
        <s v="Atelier graphique"/>
        <s v="Australian Collectables, Ltd"/>
        <s v="Australian Collectors, Co."/>
        <s v="Australian Gift Network, Co"/>
        <s v="Auto-Moto Classics Inc."/>
        <s v="Auto Associ s &amp; Cie."/>
        <s v="Auto Canal+ Petit"/>
        <s v="AV Stores, Co."/>
        <s v="Baane Mini Imports"/>
        <s v="Bavarian Collectables Imports, Co."/>
        <s v="Blauer See Auto, Co."/>
        <s v="Boards &amp; Toys Co."/>
        <s v="CAF Imports"/>
        <s v="Cambridge Collectables Co."/>
        <s v="Canadian Gift Exchange Network"/>
        <s v="Classic Gift Ideas, Inc"/>
        <s v="Classic Legends Inc."/>
        <s v="Clover Collections, Co."/>
        <s v="Collectable Mini Designs Co."/>
        <s v="Collectables For Less Inc."/>
        <s v="Corporate Gift Ideas Co."/>
        <s v="Corrida Auto Replicas, Ltd"/>
        <s v="Cruz &amp; Sons Co."/>
        <s v="Daedalus Designs Imports"/>
        <s v="Danish Wholesale Imports"/>
        <s v="Diecast Classics Inc."/>
        <s v="Diecast Collectables"/>
        <s v="Double Decker Gift Stores, Ltd"/>
        <s v="Down Under Souveniers, Inc"/>
        <s v="Dragon Souveniers, Ltd."/>
        <s v="Enaco Distributors"/>
        <s v="Euro+ Shopping Channel"/>
        <s v="Extreme Desk Decorations, Ltd"/>
        <s v="Frau da Collezione"/>
        <s v="FunGiftIdeas.com"/>
        <s v="Gift Depot Inc."/>
        <s v="Gift Ideas Corp."/>
        <s v="Gifts4AllAges.com"/>
        <s v="giftsbymail.co.uk"/>
        <s v="GiftsForHim.com"/>
        <s v="Handji Gifts&amp; Co"/>
        <s v="Heintze Collectables"/>
        <s v="Herkku Gifts"/>
        <s v="Iberia Gift Imports, Corp."/>
        <s v="Kelly's Gift Shop"/>
        <s v="King Kong Collectables, Co."/>
        <s v="L'ordine Souveniers"/>
        <s v="La Corne D'abondance, Co."/>
        <s v="La Rochelle Gifts"/>
        <s v="Land of Toys Inc."/>
        <s v="Lyon Souveniers"/>
        <s v="Marseille Mini Autos"/>
        <s v="Marta's Replicas Co."/>
        <s v="Men 'R' US Retailers, Ltd."/>
        <s v="Microscale Inc."/>
        <s v="Mini Auto Werke"/>
        <s v="Mini Caravy"/>
        <s v="Mini Classics"/>
        <s v="Mini Creations Ltd."/>
        <s v="Mini Gifts Distributors Ltd."/>
        <s v="Mini Wheels Co."/>
        <s v="Motor Mint Distributors Inc."/>
        <s v="Muscle Machine Inc"/>
        <s v="Norway Gifts By Mail, Co."/>
        <s v="Online Diecast Creations Co."/>
        <s v="Online Mini Collectables"/>
        <s v="Osaka Souveniers Co."/>
        <s v="Oulu Toy Supplies, Inc."/>
        <s v="Petit Auto"/>
        <s v="Qu bec Home Shopping Network"/>
        <s v="Reims Collectables"/>
        <s v="Rovelli Gifts"/>
        <s v="Royal Canadian Collectables, Ltd."/>
        <s v="Royale Belge"/>
        <s v="Salzburg Collectables"/>
        <s v="Saveley &amp; Henriot, Co."/>
        <s v="Scandinavian Gift Ideas"/>
        <s v="Signal Collectibles Ltd."/>
        <s v="Signal Gift Stores"/>
        <s v="Souveniers And Things Co."/>
        <s v="Stylish Desk Decors, Co."/>
        <s v="Suominen Souveniers"/>
        <s v="Super Scale Inc."/>
        <s v="Technics Stores Inc."/>
        <s v="Tekni Collectables Inc."/>
        <s v="The Sharp Gifts Warehouse"/>
        <s v="Tokyo Collectables, Ltd"/>
        <s v="Toms Spezialit ten, Ltd"/>
        <s v="Toys of Finland, Co."/>
        <s v="Toys4GrownUps.com"/>
        <s v="UK Collectables, Ltd."/>
        <s v="Vida Sport, Ltd"/>
        <s v="Vitachrome Inc."/>
        <s v="Volvo Model Replicas, Co"/>
        <s v="West Coast Collectables Co."/>
      </sharedItems>
    </cacheField>
    <cacheField name="ordernumber" numFmtId="0">
      <sharedItems containsSemiMixedTypes="0" containsString="0" containsNumber="1" containsInteger="1" minValue="10100" maxValue="10425"/>
    </cacheField>
    <cacheField name="orderdate" numFmtId="14">
      <sharedItems containsSemiMixedTypes="0" containsNonDate="0" containsDate="1" containsString="0" minDate="2003-01-06T00:00:00" maxDate="2005-06-01T00:00:00" count="265">
        <d v="2003-07-04T00:00:00"/>
        <d v="2003-11-08T00:00:00"/>
        <d v="2005-03-28T00:00:00"/>
        <d v="2004-08-17T00:00:00"/>
        <d v="2004-09-09T00:00:00"/>
        <d v="2003-09-11T00:00:00"/>
        <d v="2003-11-04T00:00:00"/>
        <d v="2005-01-20T00:00:00"/>
        <d v="2005-03-09T00:00:00"/>
        <d v="2003-05-20T00:00:00"/>
        <d v="2004-09-27T00:00:00"/>
        <d v="2004-11-25T00:00:00"/>
        <d v="2003-11-21T00:00:00"/>
        <d v="2004-07-02T00:00:00"/>
        <d v="2005-05-09T00:00:00"/>
        <d v="2003-04-29T00:00:00"/>
        <d v="2003-05-21T00:00:00"/>
        <d v="2004-02-20T00:00:00"/>
        <d v="2004-11-24T00:00:00"/>
        <d v="2004-11-29T00:00:00"/>
        <d v="2003-09-25T00:00:00"/>
        <d v="2003-11-06T00:00:00"/>
        <d v="2005-02-02T00:00:00"/>
        <d v="2003-06-16T00:00:00"/>
        <d v="2004-09-07T00:00:00"/>
        <d v="2004-12-03T00:00:00"/>
        <d v="2004-02-02T00:00:00"/>
        <d v="2004-10-11T00:00:00"/>
        <d v="2004-01-15T00:00:00"/>
        <d v="2004-05-26T00:00:00"/>
        <d v="2005-04-07T00:00:00"/>
        <d v="2003-03-18T00:00:00"/>
        <d v="2004-10-14T00:00:00"/>
        <d v="2004-11-17T00:00:00"/>
        <d v="2003-01-29T00:00:00"/>
        <d v="2003-10-10T00:00:00"/>
        <d v="2004-10-15T00:00:00"/>
        <d v="2004-11-05T00:00:00"/>
        <d v="2004-09-15T00:00:00"/>
        <d v="2003-01-09T00:00:00"/>
        <d v="2003-10-04T00:00:00"/>
        <d v="2004-03-15T00:00:00"/>
        <d v="2003-10-02T00:00:00"/>
        <d v="2005-02-08T00:00:00"/>
        <d v="2003-11-07T00:00:00"/>
        <d v="2004-03-19T00:00:00"/>
        <d v="2004-03-10T00:00:00"/>
        <d v="2004-05-08T00:00:00"/>
        <d v="2003-12-05T00:00:00"/>
        <d v="2004-10-22T00:00:00"/>
        <d v="2003-11-13T00:00:00"/>
        <d v="2003-04-04T00:00:00"/>
        <d v="2003-10-20T00:00:00"/>
        <d v="2004-11-21T00:00:00"/>
        <d v="2004-02-12T00:00:00"/>
        <d v="2004-09-16T00:00:00"/>
        <d v="2004-02-19T00:00:00"/>
        <d v="2004-02-26T00:00:00"/>
        <d v="2003-09-05T00:00:00"/>
        <d v="2004-07-21T00:00:00"/>
        <d v="2003-10-18T00:00:00"/>
        <d v="2005-02-17T00:00:00"/>
        <d v="2005-02-23T00:00:00"/>
        <d v="2003-05-28T00:00:00"/>
        <d v="2004-01-26T00:00:00"/>
        <d v="2004-11-01T00:00:00"/>
        <d v="2003-03-03T00:00:00"/>
        <d v="2003-11-27T00:00:00"/>
        <d v="2004-11-16T00:00:00"/>
        <d v="2003-11-11T00:00:00"/>
        <d v="2004-02-21T00:00:00"/>
        <d v="2003-02-11T00:00:00"/>
        <d v="2004-04-09T00:00:00"/>
        <d v="2004-06-08T00:00:00"/>
        <d v="2004-11-10T00:00:00"/>
        <d v="2005-04-15T00:00:00"/>
        <d v="2004-07-20T00:00:00"/>
        <d v="2004-08-19T00:00:00"/>
        <d v="2004-11-02T00:00:00"/>
        <d v="2005-05-30T00:00:00"/>
        <d v="2003-12-09T00:00:00"/>
        <d v="2004-04-26T00:00:00"/>
        <d v="2003-11-14T00:00:00"/>
        <d v="2004-01-22T00:00:00"/>
        <d v="2003-06-25T00:00:00"/>
        <d v="2004-06-03T00:00:00"/>
        <d v="2004-12-04T00:00:00"/>
        <d v="2005-03-11T00:00:00"/>
        <d v="2005-04-08T00:00:00"/>
        <d v="2003-04-16T00:00:00"/>
        <d v="2003-09-19T00:00:00"/>
        <d v="2003-10-22T00:00:00"/>
        <d v="2004-08-04T00:00:00"/>
        <d v="2005-03-02T00:00:00"/>
        <d v="2003-04-21T00:00:00"/>
        <d v="2003-11-26T00:00:00"/>
        <d v="2003-01-31T00:00:00"/>
        <d v="2003-06-06T00:00:00"/>
        <d v="2003-06-27T00:00:00"/>
        <d v="2003-09-28T00:00:00"/>
        <d v="2003-10-08T00:00:00"/>
        <d v="2003-11-19T00:00:00"/>
        <d v="2003-12-02T00:00:00"/>
        <d v="2003-12-03T00:00:00"/>
        <d v="2004-01-16T00:00:00"/>
        <d v="2004-04-29T00:00:00"/>
        <d v="2004-05-05T00:00:00"/>
        <d v="2004-06-24T00:00:00"/>
        <d v="2004-08-09T00:00:00"/>
        <d v="2004-10-16T00:00:00"/>
        <d v="2004-12-02T00:00:00"/>
        <d v="2004-12-07T00:00:00"/>
        <d v="2004-12-10T00:00:00"/>
        <d v="2005-02-10T00:00:00"/>
        <d v="2005-02-16T00:00:00"/>
        <d v="2005-02-22T00:00:00"/>
        <d v="2005-03-01T00:00:00"/>
        <d v="2005-03-15T00:00:00"/>
        <d v="2005-05-03T00:00:00"/>
        <d v="2005-05-13T00:00:00"/>
        <d v="2005-05-31T00:00:00"/>
        <d v="2004-03-30T00:00:00"/>
        <d v="2004-07-12T00:00:00"/>
        <d v="2005-05-16T00:00:00"/>
        <d v="2003-10-09T00:00:00"/>
        <d v="2004-02-09T00:00:00"/>
        <d v="2003-10-21T00:00:00"/>
        <d v="2004-11-04T00:00:00"/>
        <d v="2005-03-03T00:00:00"/>
        <d v="2003-11-05T00:00:00"/>
        <d v="2004-06-28T00:00:00"/>
        <d v="2005-05-05T00:00:00"/>
        <d v="2003-09-03T00:00:00"/>
        <d v="2004-06-30T00:00:00"/>
        <d v="2004-09-10T00:00:00"/>
        <d v="2005-05-06T00:00:00"/>
        <d v="2004-03-20T00:00:00"/>
        <d v="2004-06-16T00:00:00"/>
        <d v="2005-04-29T00:00:00"/>
        <d v="2004-02-04T00:00:00"/>
        <d v="2004-06-15T00:00:00"/>
        <d v="2004-09-01T00:00:00"/>
        <d v="2005-04-23T00:00:00"/>
        <d v="2003-10-17T00:00:00"/>
        <d v="2003-11-12T00:00:00"/>
        <d v="2003-11-18T00:00:00"/>
        <d v="2004-09-03T00:00:00"/>
        <d v="2004-10-06T00:00:00"/>
        <d v="2003-07-07T00:00:00"/>
        <d v="2004-12-16T00:00:00"/>
        <d v="2005-04-01T00:00:00"/>
        <d v="2003-11-15T00:00:00"/>
        <d v="2003-12-01T00:00:00"/>
        <d v="2004-07-06T00:00:00"/>
        <d v="2005-05-10T00:00:00"/>
        <d v="2003-04-01T00:00:00"/>
        <d v="2004-08-28T00:00:00"/>
        <d v="2004-11-20T00:00:00"/>
        <d v="2004-07-23T00:00:00"/>
        <d v="2004-10-29T00:00:00"/>
        <d v="2005-02-03T00:00:00"/>
        <d v="2003-02-24T00:00:00"/>
        <d v="2004-05-07T00:00:00"/>
        <d v="2004-09-08T00:00:00"/>
        <d v="2004-11-15T00:00:00"/>
        <d v="2003-07-01T00:00:00"/>
        <d v="2004-12-09T00:00:00"/>
        <d v="2005-03-17T00:00:00"/>
        <d v="2003-05-08T00:00:00"/>
        <d v="2005-01-06T00:00:00"/>
        <d v="2004-08-27T00:00:00"/>
        <d v="2004-10-13T00:00:00"/>
        <d v="2003-10-11T00:00:00"/>
        <d v="2004-01-09T00:00:00"/>
        <d v="2004-04-20T00:00:00"/>
        <d v="2004-11-03T00:00:00"/>
        <d v="2005-03-10T00:00:00"/>
        <d v="2004-04-13T00:00:00"/>
        <d v="2004-06-04T00:00:00"/>
        <d v="2005-04-14T00:00:00"/>
        <d v="2003-11-25T00:00:00"/>
        <d v="2003-08-10T00:00:00"/>
        <d v="2005-01-07T00:00:00"/>
        <d v="2003-03-26T00:00:00"/>
        <d v="2003-07-02T00:00:00"/>
        <d v="2003-08-08T00:00:00"/>
        <d v="2004-03-11T00:00:00"/>
        <d v="2004-08-20T00:00:00"/>
        <d v="2004-10-21T00:00:00"/>
        <d v="2004-11-19T00:00:00"/>
        <d v="2005-01-19T00:00:00"/>
        <d v="2005-01-23T00:00:00"/>
        <d v="2005-02-28T00:00:00"/>
        <d v="2005-03-04T00:00:00"/>
        <d v="2005-03-23T00:00:00"/>
        <d v="2005-05-29T00:00:00"/>
        <d v="2003-03-25T00:00:00"/>
        <d v="2004-11-18T00:00:00"/>
        <d v="2003-03-10T00:00:00"/>
        <d v="2004-04-03T00:00:00"/>
        <d v="2003-06-03T00:00:00"/>
        <d v="2004-07-07T00:00:00"/>
        <d v="2004-12-01T00:00:00"/>
        <d v="2003-10-05T00:00:00"/>
        <d v="2004-08-21T00:00:00"/>
        <d v="2003-01-06T00:00:00"/>
        <d v="2003-11-20T00:00:00"/>
        <d v="2004-08-02T00:00:00"/>
        <d v="2004-01-12T00:00:00"/>
        <d v="2003-09-21T00:00:00"/>
        <d v="2004-04-12T00:00:00"/>
        <d v="2005-01-31T00:00:00"/>
        <d v="2004-02-18T00:00:00"/>
        <d v="2004-06-17T00:00:00"/>
        <d v="2005-05-01T00:00:00"/>
        <d v="2003-05-07T00:00:00"/>
        <d v="2003-07-10T00:00:00"/>
        <d v="2004-12-15T00:00:00"/>
        <d v="2005-03-30T00:00:00"/>
        <d v="2003-02-17T00:00:00"/>
        <d v="2004-11-12T00:00:00"/>
        <d v="2004-04-02T00:00:00"/>
        <d v="2003-04-11T00:00:00"/>
        <d v="2003-08-13T00:00:00"/>
        <d v="2004-11-22T00:00:00"/>
        <d v="2005-01-10T00:00:00"/>
        <d v="2003-04-28T00:00:00"/>
        <d v="2004-07-16T00:00:00"/>
        <d v="2005-05-17T00:00:00"/>
        <d v="2004-01-02T00:00:00"/>
        <d v="2004-03-02T00:00:00"/>
        <d v="2003-10-23T00:00:00"/>
        <d v="2003-09-12T00:00:00"/>
        <d v="2004-02-10T00:00:00"/>
        <d v="2004-08-06T00:00:00"/>
        <d v="2003-07-16T00:00:00"/>
        <d v="2004-07-19T00:00:00"/>
        <d v="2004-12-17T00:00:00"/>
        <d v="2003-06-12T00:00:00"/>
        <d v="2003-08-01T00:00:00"/>
        <d v="2004-05-04T00:00:00"/>
        <d v="2003-07-24T00:00:00"/>
        <d v="2003-10-28T00:00:00"/>
        <d v="2005-01-05T00:00:00"/>
        <d v="2004-03-29T00:00:00"/>
        <d v="2004-05-18T00:00:00"/>
        <d v="2005-04-03T00:00:00"/>
        <d v="2004-05-11T00:00:00"/>
        <d v="2004-06-14T00:00:00"/>
        <d v="2005-04-22T00:00:00"/>
        <d v="2004-11-23T00:00:00"/>
        <d v="2005-01-26T00:00:00"/>
        <d v="2003-10-06T00:00:00"/>
        <d v="2004-09-30T00:00:00"/>
        <d v="2005-02-09T00:00:00"/>
        <d v="2003-08-25T00:00:00"/>
        <d v="2005-01-12T00:00:00"/>
        <d v="2004-06-01T00:00:00"/>
        <d v="2004-02-22T00:00:00"/>
        <d v="2004-08-30T00:00:00"/>
        <d v="2003-01-10T00:00:00"/>
        <d v="2004-04-05T00:00:00"/>
        <d v="2003-03-24T00:00:00"/>
        <d v="2004-11-09T00:00:00"/>
        <d v="2004-01-29T00:00:00"/>
      </sharedItems>
      <fieldGroup par="11"/>
    </cacheField>
    <cacheField name="order_rank" numFmtId="0">
      <sharedItems containsSemiMixedTypes="0" containsString="0" containsNumber="1" containsInteger="1" minValue="1" maxValue="26" count="2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</sharedItems>
    </cacheField>
    <cacheField name="current_amount_ordered" numFmtId="0">
      <sharedItems containsSemiMixedTypes="0" containsString="0" containsNumber="1" minValue="615.45000000000005" maxValue="67392.850000000006"/>
    </cacheField>
    <cacheField name="prev_amount" numFmtId="0">
      <sharedItems containsSemiMixedTypes="0" containsString="0" containsNumber="1" minValue="0" maxValue="67392.850000000006" count="229">
        <n v="0"/>
        <n v="14232.7"/>
        <n v="33818.339999999997"/>
        <n v="48298.99"/>
        <n v="41554.730000000003"/>
        <n v="38547.19"/>
        <n v="27083.78"/>
        <n v="14571.44"/>
        <n v="6066.78"/>
        <n v="35505.629999999997"/>
        <n v="9415.1299999999992"/>
        <n v="45864.03"/>
        <n v="7565.08"/>
        <n v="44894.74"/>
        <n v="40265.599999999999"/>
        <n v="9821.32"/>
        <n v="23936.53"/>
        <n v="6036.96"/>
        <n v="5858.56"/>
        <n v="5759.42"/>
        <n v="49165.16"/>
        <n v="25080.959999999999"/>
        <n v="48425.69"/>
        <n v="52825.29"/>
        <n v="50218.95"/>
        <n v="1491.38"/>
        <n v="17876.32"/>
        <n v="10549.01"/>
        <n v="24101.81"/>
        <n v="33820.620000000003"/>
        <n v="4465.8500000000004"/>
        <n v="31428.21"/>
        <n v="20355.240000000002"/>
        <n v="36527.61"/>
        <n v="34606.28"/>
        <n v="21665.98"/>
        <n v="22042.37"/>
        <n v="32538.74"/>
        <n v="56822.65"/>
        <n v="32680.31"/>
        <n v="12530.51"/>
        <n v="54682.68"/>
        <n v="30876.44"/>
        <n v="32626.09"/>
        <n v="57131.92"/>
        <n v="22162.61"/>
        <n v="51001.22"/>
        <n v="20644.240000000002"/>
        <n v="42783.81"/>
        <n v="53959.21"/>
        <n v="28211.7"/>
        <n v="4710.7299999999996"/>
        <n v="20564.86"/>
        <n v="23715.7"/>
        <n v="39641.43"/>
        <n v="35152.120000000003"/>
        <n v="59265.14"/>
        <n v="22275.73"/>
        <n v="2880"/>
        <n v="37281.360000000001"/>
        <n v="39440.589999999997"/>
        <n v="33593.32"/>
        <n v="44380.15"/>
        <n v="38350.15"/>
        <n v="67392.850000000006"/>
        <n v="2611.84"/>
        <n v="3101.4"/>
        <n v="40473.86"/>
        <n v="40206.199999999997"/>
        <n v="13884.99"/>
        <n v="22366.04"/>
        <n v="44939.85"/>
        <n v="4599.5200000000004"/>
        <n v="10721.86"/>
        <n v="40062.53"/>
        <n v="13059.16"/>
        <n v="59830.55"/>
        <n v="26155.91"/>
        <n v="35420.74"/>
        <n v="47065.36"/>
        <n v="20009.53"/>
        <n v="36140.379999999997"/>
        <n v="46493.16"/>
        <n v="25529.78"/>
        <n v="44185.46"/>
        <n v="16621.27"/>
        <n v="32289.119999999999"/>
        <n v="34404.21"/>
        <n v="36851.980000000003"/>
        <n v="46968.52"/>
        <n v="18102.740000000002"/>
        <n v="46895.48"/>
        <n v="28574.9"/>
        <n v="31670.37"/>
        <n v="35034.57"/>
        <n v="17746.259999999998"/>
        <n v="9977.85"/>
        <n v="48355.87"/>
        <n v="24879.08"/>
        <n v="42044.77"/>
        <n v="17032.29"/>
        <n v="6631.36"/>
        <n v="18473.71"/>
        <n v="15059.76"/>
        <n v="24995.61"/>
        <n v="20220.04"/>
        <n v="37769.379999999997"/>
        <n v="22474.17"/>
        <n v="44160.92"/>
        <n v="38785.480000000003"/>
        <n v="36164.46"/>
        <n v="55069.55"/>
        <n v="29954.91"/>
        <n v="47513.19"/>
        <n v="32077.439999999999"/>
        <n v="22963.599999999999"/>
        <n v="52166"/>
        <n v="28287.73"/>
        <n v="38524.29"/>
        <n v="51619.02"/>
        <n v="33383.14"/>
        <n v="1960.8"/>
        <n v="47924.19"/>
        <n v="19501.82"/>
        <n v="49523.67"/>
        <n v="22292.62"/>
        <n v="41445.21"/>
        <n v="35321.97"/>
        <n v="23419.47"/>
        <n v="26311.63"/>
        <n v="50824.66"/>
        <n v="18888.310000000001"/>
        <n v="43134.04"/>
        <n v="20452.5"/>
        <n v="1679.92"/>
        <n v="27121.9"/>
        <n v="15130.97"/>
        <n v="36069.26"/>
        <n v="4632.3100000000004"/>
        <n v="36092.400000000001"/>
        <n v="41016.75"/>
        <n v="52548.49"/>
        <n v="11044.3"/>
        <n v="55601.84"/>
        <n v="56052.56"/>
        <n v="45084.38"/>
        <n v="43369.3"/>
        <n v="37430.89"/>
        <n v="47979.98"/>
        <n v="55639.66"/>
        <n v="6466.44"/>
        <n v="40676.26"/>
        <n v="13874.75"/>
        <n v="35137.54"/>
        <n v="47765.59"/>
        <n v="4466.71"/>
        <n v="55902.5"/>
        <n v="27695.54"/>
        <n v="16537.849999999999"/>
        <n v="23923.93"/>
        <n v="25833.14"/>
        <n v="5899.38"/>
        <n v="58841.35"/>
        <n v="58793.53"/>
        <n v="20314.439999999999"/>
        <n v="36798.879999999997"/>
        <n v="10223.83"/>
        <n v="55425.77"/>
        <n v="51152.86"/>
        <n v="47177.59"/>
        <n v="32723.040000000001"/>
        <n v="16212.59"/>
        <n v="16901.38"/>
        <n v="45352.47"/>
        <n v="16909.84"/>
        <n v="22997.45"/>
        <n v="16700.47"/>
        <n v="13920.26"/>
        <n v="17104.91"/>
        <n v="32600.61"/>
        <n v="52151.81"/>
        <n v="37723.79"/>
        <n v="29284.42"/>
        <n v="1627.56"/>
        <n v="1128.2"/>
        <n v="12081.52"/>
        <n v="35826.33"/>
        <n v="6419.84"/>
        <n v="42813.83"/>
        <n v="39712.1"/>
        <n v="49614.720000000001"/>
        <n v="44167.09"/>
        <n v="48809.9"/>
        <n v="29997.09"/>
        <n v="32641.98"/>
        <n v="33347.879999999997"/>
        <n v="24013.52"/>
        <n v="35806.730000000003"/>
        <n v="31835.360000000001"/>
        <n v="29429.14"/>
        <n v="37455.769999999997"/>
        <n v="29716.86"/>
        <n v="28394.54"/>
        <n v="38139.18"/>
        <n v="38675.129999999997"/>
        <n v="50743.65"/>
        <n v="2434.25"/>
        <n v="7178.66"/>
        <n v="31102.85"/>
        <n v="42798.080000000002"/>
        <n v="16753.3"/>
        <n v="31755.34"/>
        <n v="22037.91"/>
        <n v="48927.64"/>
        <n v="33967.730000000003"/>
        <n v="27988.47"/>
        <n v="37602.480000000003"/>
        <n v="34341.08"/>
        <n v="50342.74"/>
        <n v="3879.96"/>
        <n v="23908.240000000002"/>
        <n v="45443.54"/>
        <n v="47375.92"/>
        <n v="5494.78"/>
        <n v="22602.36"/>
        <n v="7674.94"/>
        <n v="16799.03"/>
        <n v="19206.68"/>
        <n v="7678.25"/>
      </sharedItems>
    </cacheField>
    <cacheField name="order_value_change" numFmtId="0">
      <sharedItems containsSemiMixedTypes="0" containsString="0" containsNumber="1" minValue="-64781.01" maxValue="51435.79" count="229">
        <n v="0"/>
        <n v="19585.64"/>
        <n v="-21386.02"/>
        <n v="-14374.75"/>
        <n v="-3007.54"/>
        <n v="-11463.41"/>
        <n v="2764.74"/>
        <n v="-8504.66"/>
        <n v="-4390.6400000000003"/>
        <n v="-26090.5"/>
        <n v="1530.13"/>
        <n v="-38298.949999999997"/>
        <n v="37329.660000000003"/>
        <n v="-4629.1400000000003"/>
        <n v="1730.02"/>
        <n v="14115.21"/>
        <n v="-2504.2199999999998"/>
        <n v="-178.4"/>
        <n v="3800.18"/>
        <n v="47357.57"/>
        <n v="-24084.2"/>
        <n v="-12890.11"/>
        <n v="4399.6000000000004"/>
        <n v="-5666.18"/>
        <n v="-48727.57"/>
        <n v="16384.939999999999"/>
        <n v="16761.82"/>
        <n v="13552.8"/>
        <n v="9718.81"/>
        <n v="-26354.3"/>
        <n v="-1013.1"/>
        <n v="-16105.28"/>
        <n v="-8511.7900000000009"/>
        <n v="-2933.03"/>
        <n v="-11273.22"/>
        <n v="376.39"/>
        <n v="3463.61"/>
        <n v="-15179.21"/>
        <n v="-33270.06"/>
        <n v="-20149.8"/>
        <n v="15792.32"/>
        <n v="-23806.240000000002"/>
        <n v="1749.65"/>
        <n v="-18470.52"/>
        <n v="-34969.31"/>
        <n v="10982.95"/>
        <n v="-30356.98"/>
        <n v="-4821.3999999999996"/>
        <n v="-23785.919999999998"/>
        <n v="-25747.51"/>
        <n v="-23500.97"/>
        <n v="15854.13"/>
        <n v="1073.76"/>
        <n v="15925.73"/>
        <n v="-4489.3100000000004"/>
        <n v="-29302.68"/>
        <n v="-52988.54"/>
        <n v="-14965.31"/>
        <n v="34401.360000000001"/>
        <n v="2159.23"/>
        <n v="-5847.27"/>
        <n v="7833.49"/>
        <n v="-6030"/>
        <n v="29042.7"/>
        <n v="-64781.01"/>
        <n v="904.2"/>
        <n v="37372.46"/>
        <n v="-15528.65"/>
        <n v="-26321.21"/>
        <n v="8481.0499999999993"/>
        <n v="22573.81"/>
        <n v="-40340.33"/>
        <n v="6122.34"/>
        <n v="29340.67"/>
        <n v="-27003.37"/>
        <n v="46771.39"/>
        <n v="-33674.639999999999"/>
        <n v="9264.83"/>
        <n v="11644.62"/>
        <n v="-27055.83"/>
        <n v="16130.85"/>
        <n v="10352.780000000001"/>
        <n v="-20963.38"/>
        <n v="18655.68"/>
        <n v="-27564.19"/>
        <n v="15667.85"/>
        <n v="2115.09"/>
        <n v="2447.77"/>
        <n v="10116.540000000001"/>
        <n v="-28865.78"/>
        <n v="28792.74"/>
        <n v="-18320.580000000002"/>
        <n v="735.4"/>
        <n v="3364.2"/>
        <n v="-11407.13"/>
        <n v="-10134.200000000001"/>
        <n v="38378.019999999997"/>
        <n v="-18062.099999999999"/>
        <n v="17165.689999999999"/>
        <n v="-13543.99"/>
        <n v="-10400.93"/>
        <n v="19672.77"/>
        <n v="-3413.95"/>
        <n v="35747.089999999997"/>
        <n v="21792.53"/>
        <n v="17549.34"/>
        <n v="-1327.04"/>
        <n v="21686.75"/>
        <n v="-5375.44"/>
        <n v="-36459.300000000003"/>
        <n v="17580.88"/>
        <n v="-25114.639999999999"/>
        <n v="-17416.900000000001"/>
        <n v="-44038.53"/>
        <n v="-9113.84"/>
        <n v="29202.400000000001"/>
        <n v="-21912.25"/>
        <n v="-11094.67"/>
        <n v="13094.73"/>
        <n v="-16256.76"/>
        <n v="-31422.34"/>
        <n v="49248.78"/>
        <n v="-28422.37"/>
        <n v="30021.85"/>
        <n v="-7900.23"/>
        <n v="19152.59"/>
        <n v="-6123.24"/>
        <n v="14703.38"/>
        <n v="2892.16"/>
        <n v="-8383.5400000000009"/>
        <n v="-31936.35"/>
        <n v="-17053.75"/>
        <n v="4277.29"/>
        <n v="601.19000000000005"/>
        <n v="25870.59"/>
        <n v="-11990.93"/>
        <n v="-6323.85"/>
        <n v="-31436.95"/>
        <n v="30525.439999999999"/>
        <n v="6247.36"/>
        <n v="11531.74"/>
        <n v="-44241.21"/>
        <n v="44557.54"/>
        <n v="450.72"/>
        <n v="-10968.18"/>
        <n v="-1715.08"/>
        <n v="-5938.41"/>
        <n v="10549.09"/>
        <n v="7659.68"/>
        <n v="-49173.22"/>
        <n v="34209.82"/>
        <n v="-26801.51"/>
        <n v="21262.79"/>
        <n v="12628.05"/>
        <n v="-43298.879999999997"/>
        <n v="51435.79"/>
        <n v="-28206.959999999999"/>
        <n v="-20056.439999999999"/>
        <n v="7386.08"/>
        <n v="2324.85"/>
        <n v="-19933.759999999998"/>
        <n v="40094.69"/>
        <n v="-47.82"/>
        <n v="-38479.089999999997"/>
        <n v="19650.189999999999"/>
        <n v="-4538.72"/>
        <n v="45201.94"/>
        <n v="-4626.08"/>
        <n v="-46728.46"/>
        <n v="-31993.96"/>
        <n v="-16510.45"/>
        <n v="30557.93"/>
        <n v="28451.09"/>
        <n v="-36754.74"/>
        <n v="6087.61"/>
        <n v="6072.93"/>
        <n v="-2780.21"/>
        <n v="3184.65"/>
        <n v="15495.7"/>
        <n v="14056.33"/>
        <n v="-14428.02"/>
        <n v="-69.7"/>
        <n v="8243.16"/>
        <n v="-499.36"/>
        <n v="10953.32"/>
        <n v="2298.38"/>
        <n v="-29406.49"/>
        <n v="36393.99"/>
        <n v="9606.24"/>
        <n v="9902.6200000000008"/>
        <n v="-8636.19"/>
        <n v="4642.8100000000004"/>
        <n v="-20843.36"/>
        <n v="-17423.810000000001"/>
        <n v="705.9"/>
        <n v="-19156.759999999998"/>
        <n v="11793.21"/>
        <n v="-3971.37"/>
        <n v="10416.15"/>
        <n v="8026.63"/>
        <n v="-23783.95"/>
        <n v="-1322.32"/>
        <n v="17390.8"/>
        <n v="-5899.71"/>
        <n v="12068.52"/>
        <n v="-48309.4"/>
        <n v="10257.94"/>
        <n v="23924.19"/>
        <n v="12422.19"/>
        <n v="-26044.78"/>
        <n v="15002.04"/>
        <n v="20474.21"/>
        <n v="26889.73"/>
        <n v="-14959.91"/>
        <n v="-33352.28"/>
        <n v="33246.199999999997"/>
        <n v="-3261.4"/>
        <n v="-10738.18"/>
        <n v="-46462.78"/>
        <n v="35700.639999999999"/>
        <n v="21535.3"/>
        <n v="-8184.6"/>
        <n v="14026.08"/>
        <n v="17107.580000000002"/>
        <n v="21798.14"/>
        <n v="9124.09"/>
        <n v="2407.65"/>
        <n v="3807.49"/>
        <n v="28392.22"/>
      </sharedItems>
    </cacheField>
    <cacheField name="value_change_type" numFmtId="0">
      <sharedItems/>
    </cacheField>
    <cacheField name="% Order Value Change" numFmtId="0" formula=" (current_amount_ordered-prev_amount) /prev_amount" databaseField="0"/>
    <cacheField name="Months (orderdate)" numFmtId="0" databaseField="0">
      <fieldGroup base="2">
        <rangePr groupBy="months" startDate="2003-01-06T00:00:00" endDate="2005-06-01T00:00:00"/>
        <groupItems count="14">
          <s v="&lt;1/6/200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1/2005"/>
        </groupItems>
      </fieldGroup>
    </cacheField>
    <cacheField name="Quarters (orderdate)" numFmtId="0" databaseField="0">
      <fieldGroup base="2">
        <rangePr groupBy="quarters" startDate="2003-01-06T00:00:00" endDate="2005-06-01T00:00:00"/>
        <groupItems count="6">
          <s v="&lt;1/6/2003"/>
          <s v="Qtr1"/>
          <s v="Qtr2"/>
          <s v="Qtr3"/>
          <s v="Qtr4"/>
          <s v="&gt;6/1/2005"/>
        </groupItems>
      </fieldGroup>
    </cacheField>
    <cacheField name="Years (orderdate)" numFmtId="0" databaseField="0">
      <fieldGroup base="2">
        <rangePr groupBy="years" startDate="2003-01-06T00:00:00" endDate="2005-06-01T00:00:00"/>
        <groupItems count="5">
          <s v="&lt;1/6/2003"/>
          <s v="2003"/>
          <s v="2004"/>
          <s v="2005"/>
          <s v="&gt;6/1/200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">
  <r>
    <x v="0"/>
    <n v="10136"/>
    <x v="0"/>
    <x v="0"/>
    <n v="14232.7"/>
    <x v="0"/>
    <x v="0"/>
    <s v="First Order"/>
  </r>
  <r>
    <x v="0"/>
    <n v="10178"/>
    <x v="1"/>
    <x v="1"/>
    <n v="33818.339999999997"/>
    <x v="1"/>
    <x v="1"/>
    <s v="Positive"/>
  </r>
  <r>
    <x v="0"/>
    <n v="10397"/>
    <x v="2"/>
    <x v="2"/>
    <n v="12432.32"/>
    <x v="2"/>
    <x v="2"/>
    <s v="Negative"/>
  </r>
  <r>
    <x v="1"/>
    <n v="10280"/>
    <x v="3"/>
    <x v="0"/>
    <n v="48298.99"/>
    <x v="0"/>
    <x v="0"/>
    <s v="First Order"/>
  </r>
  <r>
    <x v="1"/>
    <n v="10293"/>
    <x v="4"/>
    <x v="1"/>
    <n v="33924.239999999998"/>
    <x v="3"/>
    <x v="3"/>
    <s v="Negative"/>
  </r>
  <r>
    <x v="2"/>
    <n v="10148"/>
    <x v="5"/>
    <x v="0"/>
    <n v="41554.730000000003"/>
    <x v="0"/>
    <x v="0"/>
    <s v="First Order"/>
  </r>
  <r>
    <x v="2"/>
    <n v="10169"/>
    <x v="6"/>
    <x v="1"/>
    <n v="38547.19"/>
    <x v="4"/>
    <x v="4"/>
    <s v="Negative"/>
  </r>
  <r>
    <x v="2"/>
    <n v="10370"/>
    <x v="7"/>
    <x v="2"/>
    <n v="27083.78"/>
    <x v="5"/>
    <x v="5"/>
    <s v="Negative"/>
  </r>
  <r>
    <x v="2"/>
    <n v="10391"/>
    <x v="8"/>
    <x v="3"/>
    <n v="29848.52"/>
    <x v="6"/>
    <x v="6"/>
    <s v="Positive"/>
  </r>
  <r>
    <x v="3"/>
    <n v="10123"/>
    <x v="9"/>
    <x v="0"/>
    <n v="14571.44"/>
    <x v="0"/>
    <x v="0"/>
    <s v="First Order"/>
  </r>
  <r>
    <x v="3"/>
    <n v="10298"/>
    <x v="10"/>
    <x v="1"/>
    <n v="6066.78"/>
    <x v="7"/>
    <x v="7"/>
    <s v="Negative"/>
  </r>
  <r>
    <x v="3"/>
    <n v="10345"/>
    <x v="11"/>
    <x v="2"/>
    <n v="1676.14"/>
    <x v="8"/>
    <x v="8"/>
    <s v="Negative"/>
  </r>
  <r>
    <x v="4"/>
    <n v="10193"/>
    <x v="12"/>
    <x v="0"/>
    <n v="35505.629999999997"/>
    <x v="0"/>
    <x v="0"/>
    <s v="First Order"/>
  </r>
  <r>
    <x v="4"/>
    <n v="10265"/>
    <x v="13"/>
    <x v="1"/>
    <n v="9415.1299999999992"/>
    <x v="9"/>
    <x v="9"/>
    <s v="Negative"/>
  </r>
  <r>
    <x v="4"/>
    <n v="10415"/>
    <x v="14"/>
    <x v="2"/>
    <n v="10945.26"/>
    <x v="10"/>
    <x v="10"/>
    <s v="Positive"/>
  </r>
  <r>
    <x v="5"/>
    <n v="10120"/>
    <x v="15"/>
    <x v="0"/>
    <n v="45864.03"/>
    <x v="0"/>
    <x v="0"/>
    <s v="First Order"/>
  </r>
  <r>
    <x v="5"/>
    <n v="10125"/>
    <x v="16"/>
    <x v="1"/>
    <n v="7565.08"/>
    <x v="11"/>
    <x v="11"/>
    <s v="Negative"/>
  </r>
  <r>
    <x v="5"/>
    <n v="10223"/>
    <x v="17"/>
    <x v="2"/>
    <n v="44894.74"/>
    <x v="12"/>
    <x v="12"/>
    <s v="Positive"/>
  </r>
  <r>
    <x v="5"/>
    <n v="10342"/>
    <x v="18"/>
    <x v="3"/>
    <n v="40265.599999999999"/>
    <x v="13"/>
    <x v="13"/>
    <s v="Negative"/>
  </r>
  <r>
    <x v="5"/>
    <n v="10347"/>
    <x v="19"/>
    <x v="4"/>
    <n v="41995.62"/>
    <x v="14"/>
    <x v="14"/>
    <s v="Positive"/>
  </r>
  <r>
    <x v="6"/>
    <n v="10152"/>
    <x v="20"/>
    <x v="0"/>
    <n v="9821.32"/>
    <x v="0"/>
    <x v="0"/>
    <s v="First Order"/>
  </r>
  <r>
    <x v="6"/>
    <n v="10174"/>
    <x v="21"/>
    <x v="1"/>
    <n v="23936.53"/>
    <x v="15"/>
    <x v="15"/>
    <s v="Positive"/>
  </r>
  <r>
    <x v="6"/>
    <n v="10374"/>
    <x v="22"/>
    <x v="2"/>
    <n v="21432.31"/>
    <x v="16"/>
    <x v="16"/>
    <s v="Negative"/>
  </r>
  <r>
    <x v="7"/>
    <n v="10130"/>
    <x v="23"/>
    <x v="0"/>
    <n v="6036.96"/>
    <x v="0"/>
    <x v="0"/>
    <s v="First Order"/>
  </r>
  <r>
    <x v="7"/>
    <n v="10290"/>
    <x v="24"/>
    <x v="1"/>
    <n v="5858.56"/>
    <x v="17"/>
    <x v="17"/>
    <s v="Negative"/>
  </r>
  <r>
    <x v="7"/>
    <n v="10352"/>
    <x v="25"/>
    <x v="2"/>
    <n v="9658.74"/>
    <x v="18"/>
    <x v="18"/>
    <s v="Positive"/>
  </r>
  <r>
    <x v="8"/>
    <n v="10216"/>
    <x v="26"/>
    <x v="0"/>
    <n v="5759.42"/>
    <x v="0"/>
    <x v="0"/>
    <s v="First Order"/>
  </r>
  <r>
    <x v="8"/>
    <n v="10304"/>
    <x v="27"/>
    <x v="1"/>
    <n v="53116.99"/>
    <x v="19"/>
    <x v="19"/>
    <s v="Positive"/>
  </r>
  <r>
    <x v="9"/>
    <n v="10211"/>
    <x v="28"/>
    <x v="0"/>
    <n v="49165.16"/>
    <x v="0"/>
    <x v="0"/>
    <s v="First Order"/>
  </r>
  <r>
    <x v="9"/>
    <n v="10252"/>
    <x v="29"/>
    <x v="1"/>
    <n v="25080.959999999999"/>
    <x v="20"/>
    <x v="20"/>
    <s v="Negative"/>
  </r>
  <r>
    <x v="9"/>
    <n v="10402"/>
    <x v="30"/>
    <x v="2"/>
    <n v="12190.85"/>
    <x v="21"/>
    <x v="21"/>
    <s v="Negative"/>
  </r>
  <r>
    <x v="10"/>
    <n v="10110"/>
    <x v="31"/>
    <x v="0"/>
    <n v="48425.69"/>
    <x v="0"/>
    <x v="0"/>
    <s v="First Order"/>
  </r>
  <r>
    <x v="10"/>
    <n v="10306"/>
    <x v="32"/>
    <x v="1"/>
    <n v="52825.29"/>
    <x v="22"/>
    <x v="22"/>
    <s v="Positive"/>
  </r>
  <r>
    <x v="10"/>
    <n v="10332"/>
    <x v="33"/>
    <x v="2"/>
    <n v="47159.11"/>
    <x v="23"/>
    <x v="23"/>
    <s v="Negative"/>
  </r>
  <r>
    <x v="11"/>
    <n v="10103"/>
    <x v="34"/>
    <x v="0"/>
    <n v="50218.95"/>
    <x v="0"/>
    <x v="0"/>
    <s v="First Order"/>
  </r>
  <r>
    <x v="11"/>
    <n v="10158"/>
    <x v="35"/>
    <x v="1"/>
    <n v="1491.38"/>
    <x v="24"/>
    <x v="24"/>
    <s v="Negative"/>
  </r>
  <r>
    <x v="11"/>
    <n v="10309"/>
    <x v="36"/>
    <x v="2"/>
    <n v="17876.32"/>
    <x v="25"/>
    <x v="25"/>
    <s v="Positive"/>
  </r>
  <r>
    <x v="11"/>
    <n v="10325"/>
    <x v="37"/>
    <x v="3"/>
    <n v="34638.14"/>
    <x v="26"/>
    <x v="26"/>
    <s v="Positive"/>
  </r>
  <r>
    <x v="12"/>
    <n v="10296"/>
    <x v="38"/>
    <x v="0"/>
    <n v="31310.09"/>
    <x v="0"/>
    <x v="0"/>
    <s v="First Order"/>
  </r>
  <r>
    <x v="13"/>
    <n v="10101"/>
    <x v="39"/>
    <x v="0"/>
    <n v="10549.01"/>
    <x v="0"/>
    <x v="0"/>
    <s v="First Order"/>
  </r>
  <r>
    <x v="13"/>
    <n v="10300"/>
    <x v="40"/>
    <x v="1"/>
    <n v="24101.81"/>
    <x v="27"/>
    <x v="27"/>
    <s v="Positive"/>
  </r>
  <r>
    <x v="13"/>
    <n v="10230"/>
    <x v="41"/>
    <x v="2"/>
    <n v="33820.620000000003"/>
    <x v="28"/>
    <x v="28"/>
    <s v="Positive"/>
  </r>
  <r>
    <x v="13"/>
    <n v="10323"/>
    <x v="37"/>
    <x v="3"/>
    <n v="7466.32"/>
    <x v="29"/>
    <x v="29"/>
    <s v="Negative"/>
  </r>
  <r>
    <x v="14"/>
    <n v="10154"/>
    <x v="42"/>
    <x v="0"/>
    <n v="4465.8500000000004"/>
    <x v="0"/>
    <x v="0"/>
    <s v="First Order"/>
  </r>
  <r>
    <x v="14"/>
    <n v="10376"/>
    <x v="43"/>
    <x v="1"/>
    <n v="3452.75"/>
    <x v="30"/>
    <x v="30"/>
    <s v="Negative"/>
  </r>
  <r>
    <x v="15"/>
    <n v="10177"/>
    <x v="44"/>
    <x v="0"/>
    <n v="31428.21"/>
    <x v="0"/>
    <x v="0"/>
    <s v="First Order"/>
  </r>
  <r>
    <x v="15"/>
    <n v="10231"/>
    <x v="45"/>
    <x v="1"/>
    <n v="15322.93"/>
    <x v="31"/>
    <x v="31"/>
    <s v="Negative"/>
  </r>
  <r>
    <x v="16"/>
    <n v="10228"/>
    <x v="46"/>
    <x v="0"/>
    <n v="20355.240000000002"/>
    <x v="0"/>
    <x v="0"/>
    <s v="First Order"/>
  </r>
  <r>
    <x v="16"/>
    <n v="10249"/>
    <x v="47"/>
    <x v="1"/>
    <n v="11843.45"/>
    <x v="32"/>
    <x v="32"/>
    <s v="Negative"/>
  </r>
  <r>
    <x v="17"/>
    <n v="10206"/>
    <x v="48"/>
    <x v="0"/>
    <n v="36527.61"/>
    <x v="0"/>
    <x v="0"/>
    <s v="First Order"/>
  </r>
  <r>
    <x v="17"/>
    <n v="10313"/>
    <x v="49"/>
    <x v="1"/>
    <n v="33594.58"/>
    <x v="33"/>
    <x v="33"/>
    <s v="Negative"/>
  </r>
  <r>
    <x v="18"/>
    <n v="10183"/>
    <x v="50"/>
    <x v="0"/>
    <n v="34606.28"/>
    <x v="0"/>
    <x v="0"/>
    <s v="First Order"/>
  </r>
  <r>
    <x v="18"/>
    <n v="10307"/>
    <x v="32"/>
    <x v="1"/>
    <n v="23333.06"/>
    <x v="34"/>
    <x v="34"/>
    <s v="Negative"/>
  </r>
  <r>
    <x v="19"/>
    <n v="10115"/>
    <x v="51"/>
    <x v="0"/>
    <n v="21665.98"/>
    <x v="0"/>
    <x v="0"/>
    <s v="First Order"/>
  </r>
  <r>
    <x v="19"/>
    <n v="10163"/>
    <x v="52"/>
    <x v="1"/>
    <n v="22042.37"/>
    <x v="35"/>
    <x v="35"/>
    <s v="Positive"/>
  </r>
  <r>
    <x v="19"/>
    <n v="10337"/>
    <x v="53"/>
    <x v="2"/>
    <n v="25505.98"/>
    <x v="36"/>
    <x v="36"/>
    <s v="Positive"/>
  </r>
  <r>
    <x v="20"/>
    <n v="10220"/>
    <x v="54"/>
    <x v="0"/>
    <n v="32538.74"/>
    <x v="0"/>
    <x v="0"/>
    <s v="First Order"/>
  </r>
  <r>
    <x v="20"/>
    <n v="10297"/>
    <x v="55"/>
    <x v="1"/>
    <n v="17359.53"/>
    <x v="37"/>
    <x v="37"/>
    <s v="Negative"/>
  </r>
  <r>
    <x v="21"/>
    <n v="10222"/>
    <x v="56"/>
    <x v="0"/>
    <n v="56822.65"/>
    <x v="0"/>
    <x v="0"/>
    <s v="First Order"/>
  </r>
  <r>
    <x v="21"/>
    <n v="10226"/>
    <x v="57"/>
    <x v="1"/>
    <n v="23552.59"/>
    <x v="38"/>
    <x v="38"/>
    <s v="Negative"/>
  </r>
  <r>
    <x v="22"/>
    <n v="10147"/>
    <x v="58"/>
    <x v="0"/>
    <n v="32680.31"/>
    <x v="0"/>
    <x v="0"/>
    <s v="First Order"/>
  </r>
  <r>
    <x v="22"/>
    <n v="10274"/>
    <x v="59"/>
    <x v="1"/>
    <n v="12530.51"/>
    <x v="39"/>
    <x v="39"/>
    <s v="Negative"/>
  </r>
  <r>
    <x v="22"/>
    <n v="10369"/>
    <x v="7"/>
    <x v="2"/>
    <n v="28322.83"/>
    <x v="40"/>
    <x v="40"/>
    <s v="Positive"/>
  </r>
  <r>
    <x v="23"/>
    <n v="10159"/>
    <x v="35"/>
    <x v="0"/>
    <n v="54682.68"/>
    <x v="0"/>
    <x v="0"/>
    <s v="First Order"/>
  </r>
  <r>
    <x v="23"/>
    <n v="10162"/>
    <x v="60"/>
    <x v="1"/>
    <n v="30876.44"/>
    <x v="41"/>
    <x v="41"/>
    <s v="Negative"/>
  </r>
  <r>
    <x v="23"/>
    <n v="10381"/>
    <x v="61"/>
    <x v="2"/>
    <n v="32626.09"/>
    <x v="42"/>
    <x v="42"/>
    <s v="Positive"/>
  </r>
  <r>
    <x v="23"/>
    <n v="10384"/>
    <x v="62"/>
    <x v="3"/>
    <n v="14155.57"/>
    <x v="43"/>
    <x v="43"/>
    <s v="Negative"/>
  </r>
  <r>
    <x v="24"/>
    <n v="10126"/>
    <x v="63"/>
    <x v="0"/>
    <n v="57131.92"/>
    <x v="0"/>
    <x v="0"/>
    <s v="First Order"/>
  </r>
  <r>
    <x v="24"/>
    <n v="10214"/>
    <x v="64"/>
    <x v="1"/>
    <n v="22162.61"/>
    <x v="44"/>
    <x v="44"/>
    <s v="Negative"/>
  </r>
  <r>
    <x v="24"/>
    <n v="10348"/>
    <x v="65"/>
    <x v="2"/>
    <n v="33145.56"/>
    <x v="45"/>
    <x v="45"/>
    <s v="Positive"/>
  </r>
  <r>
    <x v="25"/>
    <n v="10108"/>
    <x v="66"/>
    <x v="0"/>
    <n v="51001.22"/>
    <x v="0"/>
    <x v="0"/>
    <s v="First Order"/>
  </r>
  <r>
    <x v="25"/>
    <n v="10198"/>
    <x v="67"/>
    <x v="1"/>
    <n v="20644.240000000002"/>
    <x v="46"/>
    <x v="46"/>
    <s v="Negative"/>
  </r>
  <r>
    <x v="25"/>
    <n v="10330"/>
    <x v="68"/>
    <x v="2"/>
    <n v="15822.84"/>
    <x v="47"/>
    <x v="47"/>
    <s v="Negative"/>
  </r>
  <r>
    <x v="26"/>
    <n v="10180"/>
    <x v="69"/>
    <x v="0"/>
    <n v="42783.81"/>
    <x v="0"/>
    <x v="0"/>
    <s v="First Order"/>
  </r>
  <r>
    <x v="26"/>
    <n v="10224"/>
    <x v="70"/>
    <x v="1"/>
    <n v="18997.89"/>
    <x v="48"/>
    <x v="48"/>
    <s v="Negative"/>
  </r>
  <r>
    <x v="27"/>
    <n v="10105"/>
    <x v="71"/>
    <x v="0"/>
    <n v="53959.21"/>
    <x v="0"/>
    <x v="0"/>
    <s v="First Order"/>
  </r>
  <r>
    <x v="27"/>
    <n v="10238"/>
    <x v="72"/>
    <x v="1"/>
    <n v="28211.7"/>
    <x v="49"/>
    <x v="49"/>
    <s v="Negative"/>
  </r>
  <r>
    <x v="27"/>
    <n v="10256"/>
    <x v="73"/>
    <x v="2"/>
    <n v="4710.7299999999996"/>
    <x v="50"/>
    <x v="50"/>
    <s v="Negative"/>
  </r>
  <r>
    <x v="27"/>
    <n v="10327"/>
    <x v="74"/>
    <x v="3"/>
    <n v="20564.86"/>
    <x v="51"/>
    <x v="51"/>
    <s v="Positive"/>
  </r>
  <r>
    <x v="27"/>
    <n v="10406"/>
    <x v="75"/>
    <x v="4"/>
    <n v="21638.62"/>
    <x v="52"/>
    <x v="52"/>
    <s v="Positive"/>
  </r>
  <r>
    <x v="28"/>
    <n v="10272"/>
    <x v="76"/>
    <x v="0"/>
    <n v="23715.7"/>
    <x v="0"/>
    <x v="0"/>
    <s v="First Order"/>
  </r>
  <r>
    <x v="28"/>
    <n v="10281"/>
    <x v="77"/>
    <x v="1"/>
    <n v="39641.43"/>
    <x v="53"/>
    <x v="53"/>
    <s v="Positive"/>
  </r>
  <r>
    <x v="28"/>
    <n v="10318"/>
    <x v="78"/>
    <x v="2"/>
    <n v="35152.120000000003"/>
    <x v="54"/>
    <x v="54"/>
    <s v="Negative"/>
  </r>
  <r>
    <x v="28"/>
    <n v="10422"/>
    <x v="79"/>
    <x v="3"/>
    <n v="5849.44"/>
    <x v="55"/>
    <x v="55"/>
    <s v="Negative"/>
  </r>
  <r>
    <x v="29"/>
    <n v="10207"/>
    <x v="80"/>
    <x v="0"/>
    <n v="59265.14"/>
    <x v="0"/>
    <x v="0"/>
    <s v="First Order"/>
  </r>
  <r>
    <x v="29"/>
    <n v="10243"/>
    <x v="81"/>
    <x v="1"/>
    <n v="6276.6"/>
    <x v="56"/>
    <x v="56"/>
    <s v="Negative"/>
  </r>
  <r>
    <x v="30"/>
    <n v="10186"/>
    <x v="82"/>
    <x v="0"/>
    <n v="22275.73"/>
    <x v="0"/>
    <x v="0"/>
    <s v="First Order"/>
  </r>
  <r>
    <x v="30"/>
    <n v="10213"/>
    <x v="83"/>
    <x v="1"/>
    <n v="7310.42"/>
    <x v="57"/>
    <x v="57"/>
    <s v="Negative"/>
  </r>
  <r>
    <x v="31"/>
    <n v="10132"/>
    <x v="84"/>
    <x v="0"/>
    <n v="2880"/>
    <x v="0"/>
    <x v="0"/>
    <s v="First Order"/>
  </r>
  <r>
    <x v="31"/>
    <n v="10254"/>
    <x v="85"/>
    <x v="1"/>
    <n v="37281.360000000001"/>
    <x v="58"/>
    <x v="58"/>
    <s v="Positive"/>
  </r>
  <r>
    <x v="31"/>
    <n v="10354"/>
    <x v="86"/>
    <x v="2"/>
    <n v="39440.589999999997"/>
    <x v="59"/>
    <x v="59"/>
    <s v="Positive"/>
  </r>
  <r>
    <x v="31"/>
    <n v="10393"/>
    <x v="87"/>
    <x v="3"/>
    <n v="33593.32"/>
    <x v="60"/>
    <x v="60"/>
    <s v="Negative"/>
  </r>
  <r>
    <x v="31"/>
    <n v="10404"/>
    <x v="88"/>
    <x v="4"/>
    <n v="41426.81"/>
    <x v="61"/>
    <x v="61"/>
    <s v="Positive"/>
  </r>
  <r>
    <x v="32"/>
    <n v="10117"/>
    <x v="89"/>
    <x v="0"/>
    <n v="44380.15"/>
    <x v="0"/>
    <x v="0"/>
    <s v="First Order"/>
  </r>
  <r>
    <x v="32"/>
    <n v="10150"/>
    <x v="90"/>
    <x v="1"/>
    <n v="38350.15"/>
    <x v="62"/>
    <x v="62"/>
    <s v="Negative"/>
  </r>
  <r>
    <x v="32"/>
    <n v="10165"/>
    <x v="91"/>
    <x v="2"/>
    <n v="67392.850000000006"/>
    <x v="63"/>
    <x v="63"/>
    <s v="Positive"/>
  </r>
  <r>
    <x v="32"/>
    <n v="10277"/>
    <x v="92"/>
    <x v="3"/>
    <n v="2611.84"/>
    <x v="64"/>
    <x v="64"/>
    <s v="Negative"/>
  </r>
  <r>
    <x v="32"/>
    <n v="10387"/>
    <x v="93"/>
    <x v="4"/>
    <n v="3516.04"/>
    <x v="65"/>
    <x v="65"/>
    <s v="Positive"/>
  </r>
  <r>
    <x v="33"/>
    <n v="10118"/>
    <x v="94"/>
    <x v="0"/>
    <n v="3101.4"/>
    <x v="0"/>
    <x v="0"/>
    <s v="First Order"/>
  </r>
  <r>
    <x v="33"/>
    <n v="10197"/>
    <x v="95"/>
    <x v="1"/>
    <n v="40473.86"/>
    <x v="66"/>
    <x v="66"/>
    <s v="Positive"/>
  </r>
  <r>
    <x v="33"/>
    <n v="10340"/>
    <x v="18"/>
    <x v="2"/>
    <n v="24945.21"/>
    <x v="67"/>
    <x v="67"/>
    <s v="Negative"/>
  </r>
  <r>
    <x v="34"/>
    <n v="10104"/>
    <x v="96"/>
    <x v="0"/>
    <n v="40206.199999999997"/>
    <x v="0"/>
    <x v="0"/>
    <s v="First Order"/>
  </r>
  <r>
    <x v="34"/>
    <n v="10128"/>
    <x v="97"/>
    <x v="1"/>
    <n v="13884.99"/>
    <x v="68"/>
    <x v="68"/>
    <s v="Negative"/>
  </r>
  <r>
    <x v="34"/>
    <n v="10133"/>
    <x v="98"/>
    <x v="2"/>
    <n v="22366.04"/>
    <x v="69"/>
    <x v="69"/>
    <s v="Positive"/>
  </r>
  <r>
    <x v="34"/>
    <n v="10153"/>
    <x v="99"/>
    <x v="3"/>
    <n v="44939.85"/>
    <x v="70"/>
    <x v="70"/>
    <s v="Positive"/>
  </r>
  <r>
    <x v="34"/>
    <n v="10156"/>
    <x v="100"/>
    <x v="4"/>
    <n v="4599.5200000000004"/>
    <x v="71"/>
    <x v="71"/>
    <s v="Negative"/>
  </r>
  <r>
    <x v="34"/>
    <n v="10190"/>
    <x v="101"/>
    <x v="5"/>
    <n v="10721.86"/>
    <x v="72"/>
    <x v="72"/>
    <s v="Positive"/>
  </r>
  <r>
    <x v="34"/>
    <n v="10203"/>
    <x v="102"/>
    <x v="6"/>
    <n v="40062.53"/>
    <x v="73"/>
    <x v="73"/>
    <s v="Positive"/>
  </r>
  <r>
    <x v="34"/>
    <n v="10205"/>
    <x v="103"/>
    <x v="7"/>
    <n v="13059.16"/>
    <x v="74"/>
    <x v="74"/>
    <s v="Negative"/>
  </r>
  <r>
    <x v="34"/>
    <n v="10212"/>
    <x v="104"/>
    <x v="8"/>
    <n v="59830.55"/>
    <x v="75"/>
    <x v="75"/>
    <s v="Positive"/>
  </r>
  <r>
    <x v="34"/>
    <n v="10244"/>
    <x v="105"/>
    <x v="9"/>
    <n v="26155.91"/>
    <x v="76"/>
    <x v="76"/>
    <s v="Negative"/>
  </r>
  <r>
    <x v="34"/>
    <n v="10246"/>
    <x v="106"/>
    <x v="10"/>
    <n v="35420.74"/>
    <x v="77"/>
    <x v="77"/>
    <s v="Positive"/>
  </r>
  <r>
    <x v="34"/>
    <n v="10262"/>
    <x v="107"/>
    <x v="11"/>
    <n v="47065.36"/>
    <x v="78"/>
    <x v="78"/>
    <s v="Positive"/>
  </r>
  <r>
    <x v="34"/>
    <n v="10279"/>
    <x v="108"/>
    <x v="12"/>
    <n v="20009.53"/>
    <x v="79"/>
    <x v="79"/>
    <s v="Negative"/>
  </r>
  <r>
    <x v="34"/>
    <n v="10311"/>
    <x v="109"/>
    <x v="13"/>
    <n v="36140.379999999997"/>
    <x v="80"/>
    <x v="80"/>
    <s v="Positive"/>
  </r>
  <r>
    <x v="34"/>
    <n v="10350"/>
    <x v="110"/>
    <x v="14"/>
    <n v="46493.16"/>
    <x v="81"/>
    <x v="81"/>
    <s v="Positive"/>
  </r>
  <r>
    <x v="34"/>
    <n v="10355"/>
    <x v="111"/>
    <x v="15"/>
    <n v="25529.78"/>
    <x v="82"/>
    <x v="82"/>
    <s v="Negative"/>
  </r>
  <r>
    <x v="34"/>
    <n v="10358"/>
    <x v="112"/>
    <x v="16"/>
    <n v="44185.46"/>
    <x v="83"/>
    <x v="83"/>
    <s v="Positive"/>
  </r>
  <r>
    <x v="34"/>
    <n v="10379"/>
    <x v="113"/>
    <x v="17"/>
    <n v="16621.27"/>
    <x v="84"/>
    <x v="84"/>
    <s v="Negative"/>
  </r>
  <r>
    <x v="34"/>
    <n v="10378"/>
    <x v="113"/>
    <x v="18"/>
    <n v="32289.119999999999"/>
    <x v="85"/>
    <x v="85"/>
    <s v="Positive"/>
  </r>
  <r>
    <x v="34"/>
    <n v="10380"/>
    <x v="114"/>
    <x v="19"/>
    <n v="34404.21"/>
    <x v="86"/>
    <x v="86"/>
    <s v="Positive"/>
  </r>
  <r>
    <x v="34"/>
    <n v="10383"/>
    <x v="115"/>
    <x v="20"/>
    <n v="36851.980000000003"/>
    <x v="87"/>
    <x v="87"/>
    <s v="Positive"/>
  </r>
  <r>
    <x v="34"/>
    <n v="10386"/>
    <x v="116"/>
    <x v="21"/>
    <n v="46968.52"/>
    <x v="88"/>
    <x v="88"/>
    <s v="Positive"/>
  </r>
  <r>
    <x v="34"/>
    <n v="10394"/>
    <x v="117"/>
    <x v="22"/>
    <n v="18102.740000000002"/>
    <x v="89"/>
    <x v="89"/>
    <s v="Negative"/>
  </r>
  <r>
    <x v="34"/>
    <n v="10412"/>
    <x v="118"/>
    <x v="23"/>
    <n v="46895.48"/>
    <x v="90"/>
    <x v="90"/>
    <s v="Positive"/>
  </r>
  <r>
    <x v="34"/>
    <n v="10417"/>
    <x v="119"/>
    <x v="24"/>
    <n v="28574.9"/>
    <x v="91"/>
    <x v="91"/>
    <s v="Negative"/>
  </r>
  <r>
    <x v="34"/>
    <n v="10424"/>
    <x v="120"/>
    <x v="25"/>
    <n v="29310.3"/>
    <x v="92"/>
    <x v="92"/>
    <s v="Positive"/>
  </r>
  <r>
    <x v="35"/>
    <n v="10234"/>
    <x v="121"/>
    <x v="0"/>
    <n v="31670.37"/>
    <x v="0"/>
    <x v="0"/>
    <s v="First Order"/>
  </r>
  <r>
    <x v="35"/>
    <n v="10268"/>
    <x v="122"/>
    <x v="1"/>
    <n v="35034.57"/>
    <x v="93"/>
    <x v="93"/>
    <s v="Positive"/>
  </r>
  <r>
    <x v="35"/>
    <n v="10418"/>
    <x v="123"/>
    <x v="2"/>
    <n v="23627.439999999999"/>
    <x v="94"/>
    <x v="94"/>
    <s v="Negative"/>
  </r>
  <r>
    <x v="36"/>
    <n v="10157"/>
    <x v="124"/>
    <x v="0"/>
    <n v="17746.259999999998"/>
    <x v="0"/>
    <x v="0"/>
    <s v="First Order"/>
  </r>
  <r>
    <x v="36"/>
    <n v="10218"/>
    <x v="125"/>
    <x v="1"/>
    <n v="7612.06"/>
    <x v="95"/>
    <x v="95"/>
    <s v="Negative"/>
  </r>
  <r>
    <x v="37"/>
    <n v="10166"/>
    <x v="126"/>
    <x v="0"/>
    <n v="9977.85"/>
    <x v="0"/>
    <x v="0"/>
    <s v="First Order"/>
  </r>
  <r>
    <x v="37"/>
    <n v="10321"/>
    <x v="127"/>
    <x v="1"/>
    <n v="48355.87"/>
    <x v="96"/>
    <x v="96"/>
    <s v="Positive"/>
  </r>
  <r>
    <x v="37"/>
    <n v="10388"/>
    <x v="128"/>
    <x v="2"/>
    <n v="30293.77"/>
    <x v="97"/>
    <x v="97"/>
    <s v="Negative"/>
  </r>
  <r>
    <x v="38"/>
    <n v="10172"/>
    <x v="129"/>
    <x v="0"/>
    <n v="24879.08"/>
    <x v="0"/>
    <x v="0"/>
    <s v="First Order"/>
  </r>
  <r>
    <x v="38"/>
    <n v="10263"/>
    <x v="130"/>
    <x v="1"/>
    <n v="42044.77"/>
    <x v="98"/>
    <x v="98"/>
    <s v="Positive"/>
  </r>
  <r>
    <x v="38"/>
    <n v="10413"/>
    <x v="131"/>
    <x v="2"/>
    <n v="28500.78"/>
    <x v="99"/>
    <x v="99"/>
    <s v="Negative"/>
  </r>
  <r>
    <x v="39"/>
    <n v="10131"/>
    <x v="23"/>
    <x v="0"/>
    <n v="17032.29"/>
    <x v="0"/>
    <x v="0"/>
    <s v="First Order"/>
  </r>
  <r>
    <x v="39"/>
    <n v="10146"/>
    <x v="132"/>
    <x v="1"/>
    <n v="6631.36"/>
    <x v="100"/>
    <x v="100"/>
    <s v="Negative"/>
  </r>
  <r>
    <x v="39"/>
    <n v="10353"/>
    <x v="86"/>
    <x v="2"/>
    <n v="26304.13"/>
    <x v="101"/>
    <x v="101"/>
    <s v="Positive"/>
  </r>
  <r>
    <x v="40"/>
    <n v="10264"/>
    <x v="133"/>
    <x v="0"/>
    <n v="18473.71"/>
    <x v="0"/>
    <x v="0"/>
    <s v="First Order"/>
  </r>
  <r>
    <x v="40"/>
    <n v="10295"/>
    <x v="134"/>
    <x v="1"/>
    <n v="15059.76"/>
    <x v="102"/>
    <x v="102"/>
    <s v="Negative"/>
  </r>
  <r>
    <x v="40"/>
    <n v="10414"/>
    <x v="135"/>
    <x v="2"/>
    <n v="50806.85"/>
    <x v="103"/>
    <x v="103"/>
    <s v="Positive"/>
  </r>
  <r>
    <x v="41"/>
    <n v="10232"/>
    <x v="136"/>
    <x v="0"/>
    <n v="24995.61"/>
    <x v="0"/>
    <x v="0"/>
    <s v="First Order"/>
  </r>
  <r>
    <x v="41"/>
    <n v="10316"/>
    <x v="65"/>
    <x v="1"/>
    <n v="46788.14"/>
    <x v="104"/>
    <x v="104"/>
    <s v="Positive"/>
  </r>
  <r>
    <x v="42"/>
    <n v="10202"/>
    <x v="102"/>
    <x v="0"/>
    <n v="20220.04"/>
    <x v="0"/>
    <x v="0"/>
    <s v="First Order"/>
  </r>
  <r>
    <x v="42"/>
    <n v="10260"/>
    <x v="137"/>
    <x v="1"/>
    <n v="37769.379999999997"/>
    <x v="105"/>
    <x v="105"/>
    <s v="Positive"/>
  </r>
  <r>
    <x v="42"/>
    <n v="10410"/>
    <x v="138"/>
    <x v="2"/>
    <n v="36442.339999999997"/>
    <x v="106"/>
    <x v="106"/>
    <s v="Negative"/>
  </r>
  <r>
    <x v="43"/>
    <n v="10217"/>
    <x v="139"/>
    <x v="0"/>
    <n v="22474.17"/>
    <x v="0"/>
    <x v="0"/>
    <s v="First Order"/>
  </r>
  <r>
    <x v="43"/>
    <n v="10259"/>
    <x v="140"/>
    <x v="1"/>
    <n v="44160.92"/>
    <x v="107"/>
    <x v="107"/>
    <s v="Positive"/>
  </r>
  <r>
    <x v="43"/>
    <n v="10288"/>
    <x v="141"/>
    <x v="2"/>
    <n v="38785.480000000003"/>
    <x v="108"/>
    <x v="108"/>
    <s v="Negative"/>
  </r>
  <r>
    <x v="43"/>
    <n v="10409"/>
    <x v="142"/>
    <x v="3"/>
    <n v="2326.1799999999998"/>
    <x v="109"/>
    <x v="109"/>
    <s v="Negative"/>
  </r>
  <r>
    <x v="44"/>
    <n v="10161"/>
    <x v="143"/>
    <x v="0"/>
    <n v="36164.46"/>
    <x v="0"/>
    <x v="0"/>
    <s v="First Order"/>
  </r>
  <r>
    <x v="44"/>
    <n v="10314"/>
    <x v="49"/>
    <x v="1"/>
    <n v="53745.34"/>
    <x v="110"/>
    <x v="110"/>
    <s v="Positive"/>
  </r>
  <r>
    <x v="45"/>
    <n v="10181"/>
    <x v="144"/>
    <x v="0"/>
    <n v="55069.55"/>
    <x v="0"/>
    <x v="0"/>
    <s v="First Order"/>
  </r>
  <r>
    <x v="45"/>
    <n v="10188"/>
    <x v="145"/>
    <x v="1"/>
    <n v="29954.91"/>
    <x v="111"/>
    <x v="111"/>
    <s v="Negative"/>
  </r>
  <r>
    <x v="45"/>
    <n v="10289"/>
    <x v="146"/>
    <x v="2"/>
    <n v="12538.01"/>
    <x v="112"/>
    <x v="112"/>
    <s v="Negative"/>
  </r>
  <r>
    <x v="46"/>
    <n v="10184"/>
    <x v="82"/>
    <x v="0"/>
    <n v="47513.19"/>
    <x v="0"/>
    <x v="0"/>
    <s v="First Order"/>
  </r>
  <r>
    <x v="46"/>
    <n v="10303"/>
    <x v="147"/>
    <x v="1"/>
    <n v="3474.66"/>
    <x v="113"/>
    <x v="113"/>
    <s v="Negative"/>
  </r>
  <r>
    <x v="47"/>
    <n v="10138"/>
    <x v="148"/>
    <x v="0"/>
    <n v="32077.439999999999"/>
    <x v="0"/>
    <x v="0"/>
    <s v="First Order"/>
  </r>
  <r>
    <x v="47"/>
    <n v="10179"/>
    <x v="69"/>
    <x v="1"/>
    <n v="22963.599999999999"/>
    <x v="114"/>
    <x v="114"/>
    <s v="Negative"/>
  </r>
  <r>
    <x v="47"/>
    <n v="10360"/>
    <x v="149"/>
    <x v="2"/>
    <n v="52166"/>
    <x v="115"/>
    <x v="115"/>
    <s v="Positive"/>
  </r>
  <r>
    <x v="47"/>
    <n v="10399"/>
    <x v="150"/>
    <x v="3"/>
    <n v="30253.75"/>
    <x v="116"/>
    <x v="116"/>
    <s v="Negative"/>
  </r>
  <r>
    <x v="48"/>
    <n v="10187"/>
    <x v="151"/>
    <x v="0"/>
    <n v="28287.73"/>
    <x v="0"/>
    <x v="0"/>
    <s v="First Order"/>
  </r>
  <r>
    <x v="48"/>
    <n v="10200"/>
    <x v="152"/>
    <x v="1"/>
    <n v="17193.060000000001"/>
    <x v="117"/>
    <x v="117"/>
    <s v="Negative"/>
  </r>
  <r>
    <x v="49"/>
    <n v="10176"/>
    <x v="21"/>
    <x v="0"/>
    <n v="38524.29"/>
    <x v="0"/>
    <x v="0"/>
    <s v="First Order"/>
  </r>
  <r>
    <x v="49"/>
    <n v="10266"/>
    <x v="153"/>
    <x v="1"/>
    <n v="51619.02"/>
    <x v="118"/>
    <x v="118"/>
    <s v="Positive"/>
  </r>
  <r>
    <x v="49"/>
    <n v="10416"/>
    <x v="154"/>
    <x v="2"/>
    <n v="35362.26"/>
    <x v="119"/>
    <x v="119"/>
    <s v="Negative"/>
  </r>
  <r>
    <x v="50"/>
    <n v="10114"/>
    <x v="155"/>
    <x v="0"/>
    <n v="33383.14"/>
    <x v="0"/>
    <x v="0"/>
    <s v="First Order"/>
  </r>
  <r>
    <x v="50"/>
    <n v="10286"/>
    <x v="156"/>
    <x v="1"/>
    <n v="1960.8"/>
    <x v="120"/>
    <x v="120"/>
    <s v="Negative"/>
  </r>
  <r>
    <x v="50"/>
    <n v="10336"/>
    <x v="157"/>
    <x v="2"/>
    <n v="51209.58"/>
    <x v="121"/>
    <x v="121"/>
    <s v="Positive"/>
  </r>
  <r>
    <x v="51"/>
    <n v="10275"/>
    <x v="158"/>
    <x v="0"/>
    <n v="47924.19"/>
    <x v="0"/>
    <x v="0"/>
    <s v="First Order"/>
  </r>
  <r>
    <x v="51"/>
    <n v="10315"/>
    <x v="159"/>
    <x v="1"/>
    <n v="19501.82"/>
    <x v="122"/>
    <x v="122"/>
    <s v="Negative"/>
  </r>
  <r>
    <x v="51"/>
    <n v="10375"/>
    <x v="160"/>
    <x v="2"/>
    <n v="49523.67"/>
    <x v="123"/>
    <x v="123"/>
    <s v="Positive"/>
  </r>
  <r>
    <x v="51"/>
    <n v="10425"/>
    <x v="120"/>
    <x v="3"/>
    <n v="41623.440000000002"/>
    <x v="124"/>
    <x v="124"/>
    <s v="Negative"/>
  </r>
  <r>
    <x v="52"/>
    <n v="10107"/>
    <x v="161"/>
    <x v="0"/>
    <n v="22292.62"/>
    <x v="0"/>
    <x v="0"/>
    <s v="First Order"/>
  </r>
  <r>
    <x v="52"/>
    <n v="10248"/>
    <x v="162"/>
    <x v="1"/>
    <n v="41445.21"/>
    <x v="125"/>
    <x v="125"/>
    <s v="Positive"/>
  </r>
  <r>
    <x v="52"/>
    <n v="10292"/>
    <x v="163"/>
    <x v="2"/>
    <n v="35321.97"/>
    <x v="126"/>
    <x v="126"/>
    <s v="Negative"/>
  </r>
  <r>
    <x v="52"/>
    <n v="10329"/>
    <x v="164"/>
    <x v="3"/>
    <n v="50025.35"/>
    <x v="127"/>
    <x v="127"/>
    <s v="Positive"/>
  </r>
  <r>
    <x v="53"/>
    <n v="10134"/>
    <x v="165"/>
    <x v="0"/>
    <n v="23419.47"/>
    <x v="0"/>
    <x v="0"/>
    <s v="First Order"/>
  </r>
  <r>
    <x v="53"/>
    <n v="10356"/>
    <x v="166"/>
    <x v="1"/>
    <n v="26311.63"/>
    <x v="128"/>
    <x v="128"/>
    <s v="Positive"/>
  </r>
  <r>
    <x v="53"/>
    <n v="10395"/>
    <x v="167"/>
    <x v="2"/>
    <n v="17928.09"/>
    <x v="129"/>
    <x v="129"/>
    <s v="Negative"/>
  </r>
  <r>
    <x v="54"/>
    <n v="10122"/>
    <x v="168"/>
    <x v="0"/>
    <n v="50824.66"/>
    <x v="0"/>
    <x v="0"/>
    <s v="First Order"/>
  </r>
  <r>
    <x v="54"/>
    <n v="10344"/>
    <x v="11"/>
    <x v="1"/>
    <n v="18888.310000000001"/>
    <x v="130"/>
    <x v="130"/>
    <s v="Negative"/>
  </r>
  <r>
    <x v="54"/>
    <n v="10364"/>
    <x v="169"/>
    <x v="2"/>
    <n v="1834.56"/>
    <x v="131"/>
    <x v="131"/>
    <s v="Negative"/>
  </r>
  <r>
    <x v="55"/>
    <n v="10285"/>
    <x v="170"/>
    <x v="0"/>
    <n v="43134.04"/>
    <x v="0"/>
    <x v="0"/>
    <s v="First Order"/>
  </r>
  <r>
    <x v="55"/>
    <n v="10305"/>
    <x v="171"/>
    <x v="1"/>
    <n v="47411.33"/>
    <x v="132"/>
    <x v="132"/>
    <s v="Positive"/>
  </r>
  <r>
    <x v="56"/>
    <n v="10160"/>
    <x v="172"/>
    <x v="0"/>
    <n v="20452.5"/>
    <x v="0"/>
    <x v="0"/>
    <s v="First Order"/>
  </r>
  <r>
    <x v="56"/>
    <n v="10209"/>
    <x v="173"/>
    <x v="1"/>
    <n v="21053.69"/>
    <x v="133"/>
    <x v="133"/>
    <s v="Positive"/>
  </r>
  <r>
    <x v="57"/>
    <n v="10242"/>
    <x v="174"/>
    <x v="0"/>
    <n v="1679.92"/>
    <x v="0"/>
    <x v="0"/>
    <s v="First Order"/>
  </r>
  <r>
    <x v="57"/>
    <n v="10319"/>
    <x v="175"/>
    <x v="1"/>
    <n v="27550.51"/>
    <x v="134"/>
    <x v="134"/>
    <s v="Positive"/>
  </r>
  <r>
    <x v="58"/>
    <n v="10164"/>
    <x v="126"/>
    <x v="0"/>
    <n v="27121.9"/>
    <x v="0"/>
    <x v="0"/>
    <s v="First Order"/>
  </r>
  <r>
    <x v="58"/>
    <n v="10170"/>
    <x v="6"/>
    <x v="1"/>
    <n v="15130.97"/>
    <x v="135"/>
    <x v="135"/>
    <s v="Negative"/>
  </r>
  <r>
    <x v="58"/>
    <n v="10392"/>
    <x v="176"/>
    <x v="2"/>
    <n v="8807.1200000000008"/>
    <x v="136"/>
    <x v="136"/>
    <s v="Negative"/>
  </r>
  <r>
    <x v="59"/>
    <n v="10241"/>
    <x v="177"/>
    <x v="0"/>
    <n v="36069.26"/>
    <x v="0"/>
    <x v="0"/>
    <s v="First Order"/>
  </r>
  <r>
    <x v="59"/>
    <n v="10255"/>
    <x v="178"/>
    <x v="1"/>
    <n v="4632.3100000000004"/>
    <x v="137"/>
    <x v="137"/>
    <s v="Negative"/>
  </r>
  <r>
    <x v="59"/>
    <n v="10405"/>
    <x v="179"/>
    <x v="2"/>
    <n v="35157.75"/>
    <x v="138"/>
    <x v="138"/>
    <s v="Positive"/>
  </r>
  <r>
    <x v="60"/>
    <n v="10195"/>
    <x v="180"/>
    <x v="0"/>
    <n v="36092.400000000001"/>
    <x v="0"/>
    <x v="0"/>
    <s v="First Order"/>
  </r>
  <r>
    <x v="60"/>
    <n v="10308"/>
    <x v="36"/>
    <x v="1"/>
    <n v="42339.76"/>
    <x v="139"/>
    <x v="139"/>
    <s v="Positive"/>
  </r>
  <r>
    <x v="61"/>
    <n v="10143"/>
    <x v="181"/>
    <x v="0"/>
    <n v="41016.75"/>
    <x v="0"/>
    <x v="0"/>
    <s v="First Order"/>
  </r>
  <r>
    <x v="61"/>
    <n v="10185"/>
    <x v="82"/>
    <x v="1"/>
    <n v="52548.49"/>
    <x v="140"/>
    <x v="140"/>
    <s v="Positive"/>
  </r>
  <r>
    <x v="61"/>
    <n v="10365"/>
    <x v="182"/>
    <x v="2"/>
    <n v="8307.2800000000007"/>
    <x v="141"/>
    <x v="141"/>
    <s v="Negative"/>
  </r>
  <r>
    <x v="62"/>
    <n v="10113"/>
    <x v="183"/>
    <x v="0"/>
    <n v="11044.3"/>
    <x v="0"/>
    <x v="0"/>
    <s v="First Order"/>
  </r>
  <r>
    <x v="62"/>
    <n v="10135"/>
    <x v="184"/>
    <x v="1"/>
    <n v="55601.84"/>
    <x v="142"/>
    <x v="142"/>
    <s v="Positive"/>
  </r>
  <r>
    <x v="62"/>
    <n v="10142"/>
    <x v="185"/>
    <x v="2"/>
    <n v="56052.56"/>
    <x v="143"/>
    <x v="143"/>
    <s v="Positive"/>
  </r>
  <r>
    <x v="62"/>
    <n v="10182"/>
    <x v="144"/>
    <x v="3"/>
    <n v="45084.38"/>
    <x v="144"/>
    <x v="144"/>
    <s v="Negative"/>
  </r>
  <r>
    <x v="62"/>
    <n v="10229"/>
    <x v="186"/>
    <x v="4"/>
    <n v="43369.3"/>
    <x v="145"/>
    <x v="145"/>
    <s v="Negative"/>
  </r>
  <r>
    <x v="62"/>
    <n v="10271"/>
    <x v="76"/>
    <x v="5"/>
    <n v="37430.89"/>
    <x v="146"/>
    <x v="146"/>
    <s v="Negative"/>
  </r>
  <r>
    <x v="62"/>
    <n v="10282"/>
    <x v="187"/>
    <x v="6"/>
    <n v="47979.98"/>
    <x v="147"/>
    <x v="147"/>
    <s v="Positive"/>
  </r>
  <r>
    <x v="62"/>
    <n v="10312"/>
    <x v="188"/>
    <x v="7"/>
    <n v="55639.66"/>
    <x v="148"/>
    <x v="148"/>
    <s v="Positive"/>
  </r>
  <r>
    <x v="62"/>
    <n v="10335"/>
    <x v="189"/>
    <x v="8"/>
    <n v="6466.44"/>
    <x v="149"/>
    <x v="149"/>
    <s v="Negative"/>
  </r>
  <r>
    <x v="62"/>
    <n v="10357"/>
    <x v="112"/>
    <x v="9"/>
    <n v="40676.26"/>
    <x v="150"/>
    <x v="150"/>
    <s v="Positive"/>
  </r>
  <r>
    <x v="62"/>
    <n v="10368"/>
    <x v="190"/>
    <x v="10"/>
    <n v="13874.75"/>
    <x v="151"/>
    <x v="151"/>
    <s v="Negative"/>
  </r>
  <r>
    <x v="62"/>
    <n v="10371"/>
    <x v="191"/>
    <x v="11"/>
    <n v="35137.54"/>
    <x v="152"/>
    <x v="152"/>
    <s v="Positive"/>
  </r>
  <r>
    <x v="62"/>
    <n v="10382"/>
    <x v="61"/>
    <x v="12"/>
    <n v="47765.59"/>
    <x v="153"/>
    <x v="153"/>
    <s v="Positive"/>
  </r>
  <r>
    <x v="62"/>
    <n v="10385"/>
    <x v="192"/>
    <x v="13"/>
    <n v="4466.71"/>
    <x v="154"/>
    <x v="154"/>
    <s v="Negative"/>
  </r>
  <r>
    <x v="62"/>
    <n v="10390"/>
    <x v="193"/>
    <x v="14"/>
    <n v="55902.5"/>
    <x v="155"/>
    <x v="155"/>
    <s v="Positive"/>
  </r>
  <r>
    <x v="62"/>
    <n v="10396"/>
    <x v="194"/>
    <x v="15"/>
    <n v="27695.54"/>
    <x v="156"/>
    <x v="156"/>
    <s v="Negative"/>
  </r>
  <r>
    <x v="62"/>
    <n v="10421"/>
    <x v="195"/>
    <x v="16"/>
    <n v="7639.1"/>
    <x v="157"/>
    <x v="157"/>
    <s v="Negative"/>
  </r>
  <r>
    <x v="63"/>
    <n v="10111"/>
    <x v="196"/>
    <x v="0"/>
    <n v="16537.849999999999"/>
    <x v="0"/>
    <x v="0"/>
    <s v="First Order"/>
  </r>
  <r>
    <x v="63"/>
    <n v="10201"/>
    <x v="152"/>
    <x v="1"/>
    <n v="23923.93"/>
    <x v="158"/>
    <x v="158"/>
    <s v="Positive"/>
  </r>
  <r>
    <x v="63"/>
    <n v="10333"/>
    <x v="197"/>
    <x v="2"/>
    <n v="26248.78"/>
    <x v="159"/>
    <x v="159"/>
    <s v="Positive"/>
  </r>
  <r>
    <x v="64"/>
    <n v="10109"/>
    <x v="198"/>
    <x v="0"/>
    <n v="25833.14"/>
    <x v="0"/>
    <x v="0"/>
    <s v="First Order"/>
  </r>
  <r>
    <x v="64"/>
    <n v="10236"/>
    <x v="199"/>
    <x v="1"/>
    <n v="5899.38"/>
    <x v="160"/>
    <x v="160"/>
    <s v="Negative"/>
  </r>
  <r>
    <x v="64"/>
    <n v="10331"/>
    <x v="33"/>
    <x v="2"/>
    <n v="45994.07"/>
    <x v="161"/>
    <x v="161"/>
    <s v="Positive"/>
  </r>
  <r>
    <x v="65"/>
    <n v="10127"/>
    <x v="200"/>
    <x v="0"/>
    <n v="58841.35"/>
    <x v="0"/>
    <x v="0"/>
    <s v="First Order"/>
  </r>
  <r>
    <x v="65"/>
    <n v="10204"/>
    <x v="102"/>
    <x v="1"/>
    <n v="58793.53"/>
    <x v="162"/>
    <x v="162"/>
    <s v="Negative"/>
  </r>
  <r>
    <x v="65"/>
    <n v="10267"/>
    <x v="201"/>
    <x v="2"/>
    <n v="20314.439999999999"/>
    <x v="163"/>
    <x v="163"/>
    <s v="Negative"/>
  </r>
  <r>
    <x v="65"/>
    <n v="10349"/>
    <x v="202"/>
    <x v="3"/>
    <n v="39964.629999999997"/>
    <x v="164"/>
    <x v="164"/>
    <s v="Positive"/>
  </r>
  <r>
    <x v="66"/>
    <n v="10301"/>
    <x v="203"/>
    <x v="0"/>
    <n v="36798.879999999997"/>
    <x v="0"/>
    <x v="0"/>
    <s v="First Order"/>
  </r>
  <r>
    <x v="66"/>
    <n v="10284"/>
    <x v="204"/>
    <x v="1"/>
    <n v="32260.16"/>
    <x v="165"/>
    <x v="165"/>
    <s v="Negative"/>
  </r>
  <r>
    <x v="67"/>
    <n v="10100"/>
    <x v="205"/>
    <x v="0"/>
    <n v="10223.83"/>
    <x v="0"/>
    <x v="0"/>
    <s v="First Order"/>
  </r>
  <r>
    <x v="67"/>
    <n v="10192"/>
    <x v="206"/>
    <x v="1"/>
    <n v="55425.77"/>
    <x v="166"/>
    <x v="166"/>
    <s v="Positive"/>
  </r>
  <r>
    <x v="67"/>
    <n v="10322"/>
    <x v="127"/>
    <x v="2"/>
    <n v="50799.69"/>
    <x v="167"/>
    <x v="167"/>
    <s v="Negative"/>
  </r>
  <r>
    <x v="68"/>
    <n v="10276"/>
    <x v="207"/>
    <x v="0"/>
    <n v="51152.86"/>
    <x v="0"/>
    <x v="0"/>
    <s v="First Order"/>
  </r>
  <r>
    <x v="68"/>
    <n v="10294"/>
    <x v="134"/>
    <x v="1"/>
    <n v="4424.3999999999996"/>
    <x v="168"/>
    <x v="168"/>
    <s v="Negative"/>
  </r>
  <r>
    <x v="69"/>
    <n v="10210"/>
    <x v="208"/>
    <x v="0"/>
    <n v="47177.59"/>
    <x v="0"/>
    <x v="0"/>
    <s v="First Order"/>
  </r>
  <r>
    <x v="69"/>
    <n v="10240"/>
    <x v="177"/>
    <x v="1"/>
    <n v="15183.63"/>
    <x v="169"/>
    <x v="169"/>
    <s v="Negative"/>
  </r>
  <r>
    <x v="70"/>
    <n v="10151"/>
    <x v="209"/>
    <x v="0"/>
    <n v="32723.040000000001"/>
    <x v="0"/>
    <x v="0"/>
    <s v="First Order"/>
  </r>
  <r>
    <x v="70"/>
    <n v="10239"/>
    <x v="210"/>
    <x v="1"/>
    <n v="16212.59"/>
    <x v="170"/>
    <x v="170"/>
    <s v="Negative"/>
  </r>
  <r>
    <x v="70"/>
    <n v="10373"/>
    <x v="211"/>
    <x v="2"/>
    <n v="46770.52"/>
    <x v="171"/>
    <x v="171"/>
    <s v="Positive"/>
  </r>
  <r>
    <x v="71"/>
    <n v="10221"/>
    <x v="212"/>
    <x v="0"/>
    <n v="16901.38"/>
    <x v="0"/>
    <x v="0"/>
    <s v="First Order"/>
  </r>
  <r>
    <x v="71"/>
    <n v="10273"/>
    <x v="59"/>
    <x v="1"/>
    <n v="45352.47"/>
    <x v="172"/>
    <x v="172"/>
    <s v="Positive"/>
  </r>
  <r>
    <x v="71"/>
    <n v="10423"/>
    <x v="79"/>
    <x v="2"/>
    <n v="8597.73"/>
    <x v="173"/>
    <x v="173"/>
    <s v="Negative"/>
  </r>
  <r>
    <x v="72"/>
    <n v="10171"/>
    <x v="129"/>
    <x v="0"/>
    <n v="16909.84"/>
    <x v="0"/>
    <x v="0"/>
    <s v="First Order"/>
  </r>
  <r>
    <x v="72"/>
    <n v="10261"/>
    <x v="213"/>
    <x v="1"/>
    <n v="22997.45"/>
    <x v="174"/>
    <x v="174"/>
    <s v="Positive"/>
  </r>
  <r>
    <x v="72"/>
    <n v="10411"/>
    <x v="214"/>
    <x v="2"/>
    <n v="29070.38"/>
    <x v="175"/>
    <x v="175"/>
    <s v="Positive"/>
  </r>
  <r>
    <x v="73"/>
    <n v="10121"/>
    <x v="215"/>
    <x v="0"/>
    <n v="16700.47"/>
    <x v="0"/>
    <x v="0"/>
    <s v="First Order"/>
  </r>
  <r>
    <x v="73"/>
    <n v="10137"/>
    <x v="216"/>
    <x v="1"/>
    <n v="13920.26"/>
    <x v="176"/>
    <x v="176"/>
    <s v="Negative"/>
  </r>
  <r>
    <x v="73"/>
    <n v="10343"/>
    <x v="18"/>
    <x v="2"/>
    <n v="17104.91"/>
    <x v="177"/>
    <x v="177"/>
    <s v="Positive"/>
  </r>
  <r>
    <x v="73"/>
    <n v="10359"/>
    <x v="217"/>
    <x v="3"/>
    <n v="32600.61"/>
    <x v="178"/>
    <x v="178"/>
    <s v="Positive"/>
  </r>
  <r>
    <x v="73"/>
    <n v="10398"/>
    <x v="218"/>
    <x v="4"/>
    <n v="46656.94"/>
    <x v="179"/>
    <x v="179"/>
    <s v="Positive"/>
  </r>
  <r>
    <x v="74"/>
    <n v="10106"/>
    <x v="219"/>
    <x v="0"/>
    <n v="52151.81"/>
    <x v="0"/>
    <x v="0"/>
    <s v="First Order"/>
  </r>
  <r>
    <x v="74"/>
    <n v="10173"/>
    <x v="129"/>
    <x v="1"/>
    <n v="37723.79"/>
    <x v="180"/>
    <x v="180"/>
    <s v="Negative"/>
  </r>
  <r>
    <x v="74"/>
    <n v="10328"/>
    <x v="220"/>
    <x v="2"/>
    <n v="37654.089999999997"/>
    <x v="181"/>
    <x v="181"/>
    <s v="Negative"/>
  </r>
  <r>
    <x v="75"/>
    <n v="10235"/>
    <x v="221"/>
    <x v="0"/>
    <n v="29284.42"/>
    <x v="0"/>
    <x v="0"/>
    <s v="First Order"/>
  </r>
  <r>
    <x v="75"/>
    <n v="10283"/>
    <x v="187"/>
    <x v="1"/>
    <n v="37527.58"/>
    <x v="182"/>
    <x v="182"/>
    <s v="Positive"/>
  </r>
  <r>
    <x v="76"/>
    <n v="10116"/>
    <x v="222"/>
    <x v="0"/>
    <n v="1627.56"/>
    <x v="0"/>
    <x v="0"/>
    <s v="First Order"/>
  </r>
  <r>
    <x v="76"/>
    <n v="10144"/>
    <x v="223"/>
    <x v="1"/>
    <n v="1128.2"/>
    <x v="183"/>
    <x v="183"/>
    <s v="Negative"/>
  </r>
  <r>
    <x v="76"/>
    <n v="10338"/>
    <x v="224"/>
    <x v="2"/>
    <n v="12081.52"/>
    <x v="184"/>
    <x v="184"/>
    <s v="Positive"/>
  </r>
  <r>
    <x v="76"/>
    <n v="10366"/>
    <x v="225"/>
    <x v="3"/>
    <n v="14379.9"/>
    <x v="185"/>
    <x v="185"/>
    <s v="Positive"/>
  </r>
  <r>
    <x v="77"/>
    <n v="10119"/>
    <x v="226"/>
    <x v="0"/>
    <n v="35826.33"/>
    <x v="0"/>
    <x v="0"/>
    <s v="First Order"/>
  </r>
  <r>
    <x v="77"/>
    <n v="10269"/>
    <x v="227"/>
    <x v="1"/>
    <n v="6419.84"/>
    <x v="186"/>
    <x v="186"/>
    <s v="Negative"/>
  </r>
  <r>
    <x v="77"/>
    <n v="10341"/>
    <x v="18"/>
    <x v="2"/>
    <n v="42813.83"/>
    <x v="187"/>
    <x v="187"/>
    <s v="Positive"/>
  </r>
  <r>
    <x v="77"/>
    <n v="10419"/>
    <x v="228"/>
    <x v="3"/>
    <n v="52420.07"/>
    <x v="188"/>
    <x v="188"/>
    <s v="Positive"/>
  </r>
  <r>
    <x v="78"/>
    <n v="10194"/>
    <x v="180"/>
    <x v="0"/>
    <n v="39712.1"/>
    <x v="0"/>
    <x v="0"/>
    <s v="First Order"/>
  </r>
  <r>
    <x v="78"/>
    <n v="10208"/>
    <x v="229"/>
    <x v="1"/>
    <n v="49614.720000000001"/>
    <x v="189"/>
    <x v="189"/>
    <s v="Positive"/>
  </r>
  <r>
    <x v="78"/>
    <n v="10227"/>
    <x v="230"/>
    <x v="2"/>
    <n v="40978.53"/>
    <x v="190"/>
    <x v="190"/>
    <s v="Negative"/>
  </r>
  <r>
    <x v="79"/>
    <n v="10167"/>
    <x v="231"/>
    <x v="0"/>
    <n v="44167.09"/>
    <x v="0"/>
    <x v="0"/>
    <s v="First Order"/>
  </r>
  <r>
    <x v="79"/>
    <n v="10291"/>
    <x v="163"/>
    <x v="1"/>
    <n v="48809.9"/>
    <x v="191"/>
    <x v="191"/>
    <s v="Positive"/>
  </r>
  <r>
    <x v="79"/>
    <n v="10389"/>
    <x v="128"/>
    <x v="2"/>
    <n v="27966.54"/>
    <x v="192"/>
    <x v="192"/>
    <s v="Negative"/>
  </r>
  <r>
    <x v="80"/>
    <n v="10149"/>
    <x v="232"/>
    <x v="0"/>
    <n v="29997.09"/>
    <x v="0"/>
    <x v="0"/>
    <s v="First Order"/>
  </r>
  <r>
    <x v="80"/>
    <n v="10219"/>
    <x v="233"/>
    <x v="1"/>
    <n v="12573.28"/>
    <x v="193"/>
    <x v="193"/>
    <s v="Negative"/>
  </r>
  <r>
    <x v="81"/>
    <n v="10124"/>
    <x v="16"/>
    <x v="0"/>
    <n v="32641.98"/>
    <x v="0"/>
    <x v="0"/>
    <s v="First Order"/>
  </r>
  <r>
    <x v="81"/>
    <n v="10278"/>
    <x v="234"/>
    <x v="1"/>
    <n v="33347.879999999997"/>
    <x v="194"/>
    <x v="194"/>
    <s v="Positive"/>
  </r>
  <r>
    <x v="81"/>
    <n v="10346"/>
    <x v="19"/>
    <x v="2"/>
    <n v="14191.12"/>
    <x v="195"/>
    <x v="195"/>
    <s v="Negative"/>
  </r>
  <r>
    <x v="82"/>
    <n v="10139"/>
    <x v="235"/>
    <x v="0"/>
    <n v="24013.52"/>
    <x v="0"/>
    <x v="0"/>
    <s v="First Order"/>
  </r>
  <r>
    <x v="82"/>
    <n v="10270"/>
    <x v="236"/>
    <x v="1"/>
    <n v="35806.730000000003"/>
    <x v="196"/>
    <x v="196"/>
    <s v="Positive"/>
  </r>
  <r>
    <x v="82"/>
    <n v="10361"/>
    <x v="237"/>
    <x v="2"/>
    <n v="31835.360000000001"/>
    <x v="197"/>
    <x v="197"/>
    <s v="Negative"/>
  </r>
  <r>
    <x v="82"/>
    <n v="10420"/>
    <x v="195"/>
    <x v="3"/>
    <n v="42251.51"/>
    <x v="198"/>
    <x v="198"/>
    <s v="Positive"/>
  </r>
  <r>
    <x v="83"/>
    <n v="10129"/>
    <x v="238"/>
    <x v="0"/>
    <n v="29429.14"/>
    <x v="0"/>
    <x v="0"/>
    <s v="First Order"/>
  </r>
  <r>
    <x v="83"/>
    <n v="10175"/>
    <x v="21"/>
    <x v="1"/>
    <n v="37455.769999999997"/>
    <x v="199"/>
    <x v="199"/>
    <s v="Positive"/>
  </r>
  <r>
    <x v="83"/>
    <n v="10351"/>
    <x v="25"/>
    <x v="2"/>
    <n v="13671.82"/>
    <x v="200"/>
    <x v="200"/>
    <s v="Negative"/>
  </r>
  <r>
    <x v="84"/>
    <n v="10141"/>
    <x v="239"/>
    <x v="0"/>
    <n v="29716.86"/>
    <x v="0"/>
    <x v="0"/>
    <s v="First Order"/>
  </r>
  <r>
    <x v="84"/>
    <n v="10247"/>
    <x v="106"/>
    <x v="1"/>
    <n v="28394.54"/>
    <x v="201"/>
    <x v="201"/>
    <s v="Negative"/>
  </r>
  <r>
    <x v="84"/>
    <n v="10363"/>
    <x v="169"/>
    <x v="2"/>
    <n v="45785.34"/>
    <x v="202"/>
    <x v="202"/>
    <s v="Positive"/>
  </r>
  <r>
    <x v="85"/>
    <n v="10196"/>
    <x v="95"/>
    <x v="0"/>
    <n v="38139.18"/>
    <x v="0"/>
    <x v="0"/>
    <s v="First Order"/>
  </r>
  <r>
    <x v="85"/>
    <n v="10245"/>
    <x v="240"/>
    <x v="1"/>
    <n v="32239.47"/>
    <x v="203"/>
    <x v="203"/>
    <s v="Negative"/>
  </r>
  <r>
    <x v="86"/>
    <n v="10140"/>
    <x v="241"/>
    <x v="0"/>
    <n v="38675.129999999997"/>
    <x v="0"/>
    <x v="0"/>
    <s v="First Order"/>
  </r>
  <r>
    <x v="86"/>
    <n v="10168"/>
    <x v="242"/>
    <x v="1"/>
    <n v="50743.65"/>
    <x v="204"/>
    <x v="204"/>
    <s v="Positive"/>
  </r>
  <r>
    <x v="86"/>
    <n v="10317"/>
    <x v="78"/>
    <x v="2"/>
    <n v="2434.25"/>
    <x v="205"/>
    <x v="205"/>
    <s v="Negative"/>
  </r>
  <r>
    <x v="86"/>
    <n v="10362"/>
    <x v="243"/>
    <x v="3"/>
    <n v="12692.19"/>
    <x v="206"/>
    <x v="206"/>
    <s v="Positive"/>
  </r>
  <r>
    <x v="87"/>
    <n v="10233"/>
    <x v="244"/>
    <x v="0"/>
    <n v="7178.66"/>
    <x v="0"/>
    <x v="0"/>
    <s v="First Order"/>
  </r>
  <r>
    <x v="87"/>
    <n v="10251"/>
    <x v="245"/>
    <x v="1"/>
    <n v="31102.85"/>
    <x v="207"/>
    <x v="207"/>
    <s v="Positive"/>
  </r>
  <r>
    <x v="87"/>
    <n v="10401"/>
    <x v="246"/>
    <x v="2"/>
    <n v="43525.04"/>
    <x v="208"/>
    <x v="208"/>
    <s v="Positive"/>
  </r>
  <r>
    <x v="88"/>
    <n v="10250"/>
    <x v="247"/>
    <x v="0"/>
    <n v="42798.080000000002"/>
    <x v="0"/>
    <x v="0"/>
    <s v="First Order"/>
  </r>
  <r>
    <x v="88"/>
    <n v="10257"/>
    <x v="248"/>
    <x v="1"/>
    <n v="16753.3"/>
    <x v="209"/>
    <x v="209"/>
    <s v="Negative"/>
  </r>
  <r>
    <x v="88"/>
    <n v="10400"/>
    <x v="150"/>
    <x v="2"/>
    <n v="31755.34"/>
    <x v="210"/>
    <x v="210"/>
    <s v="Positive"/>
  </r>
  <r>
    <x v="88"/>
    <n v="10407"/>
    <x v="249"/>
    <x v="3"/>
    <n v="52229.55"/>
    <x v="211"/>
    <x v="211"/>
    <s v="Positive"/>
  </r>
  <r>
    <x v="89"/>
    <n v="10258"/>
    <x v="140"/>
    <x v="0"/>
    <n v="22037.91"/>
    <x v="0"/>
    <x v="0"/>
    <s v="First Order"/>
  </r>
  <r>
    <x v="89"/>
    <n v="10339"/>
    <x v="250"/>
    <x v="1"/>
    <n v="48927.64"/>
    <x v="212"/>
    <x v="212"/>
    <s v="Positive"/>
  </r>
  <r>
    <x v="89"/>
    <n v="10372"/>
    <x v="251"/>
    <x v="2"/>
    <n v="33967.730000000003"/>
    <x v="213"/>
    <x v="213"/>
    <s v="Negative"/>
  </r>
  <r>
    <x v="89"/>
    <n v="10408"/>
    <x v="249"/>
    <x v="3"/>
    <n v="615.45000000000005"/>
    <x v="214"/>
    <x v="214"/>
    <s v="Negative"/>
  </r>
  <r>
    <x v="90"/>
    <n v="10191"/>
    <x v="206"/>
    <x v="0"/>
    <n v="27988.47"/>
    <x v="0"/>
    <x v="0"/>
    <s v="First Order"/>
  </r>
  <r>
    <x v="90"/>
    <n v="10310"/>
    <x v="109"/>
    <x v="1"/>
    <n v="61234.67"/>
    <x v="215"/>
    <x v="215"/>
    <s v="Positive"/>
  </r>
  <r>
    <x v="91"/>
    <n v="10155"/>
    <x v="252"/>
    <x v="0"/>
    <n v="37602.480000000003"/>
    <x v="0"/>
    <x v="0"/>
    <s v="First Order"/>
  </r>
  <r>
    <x v="91"/>
    <n v="10299"/>
    <x v="253"/>
    <x v="1"/>
    <n v="34341.08"/>
    <x v="216"/>
    <x v="216"/>
    <s v="Negative"/>
  </r>
  <r>
    <x v="91"/>
    <n v="10377"/>
    <x v="254"/>
    <x v="2"/>
    <n v="23602.9"/>
    <x v="217"/>
    <x v="217"/>
    <s v="Negative"/>
  </r>
  <r>
    <x v="92"/>
    <n v="10145"/>
    <x v="255"/>
    <x v="0"/>
    <n v="50342.74"/>
    <x v="0"/>
    <x v="0"/>
    <s v="First Order"/>
  </r>
  <r>
    <x v="92"/>
    <n v="10189"/>
    <x v="145"/>
    <x v="1"/>
    <n v="3879.96"/>
    <x v="218"/>
    <x v="218"/>
    <s v="Negative"/>
  </r>
  <r>
    <x v="92"/>
    <n v="10367"/>
    <x v="256"/>
    <x v="2"/>
    <n v="39580.6"/>
    <x v="219"/>
    <x v="219"/>
    <s v="Positive"/>
  </r>
  <r>
    <x v="93"/>
    <n v="10302"/>
    <x v="252"/>
    <x v="0"/>
    <n v="23908.240000000002"/>
    <x v="0"/>
    <x v="0"/>
    <s v="First Order"/>
  </r>
  <r>
    <x v="93"/>
    <n v="10253"/>
    <x v="257"/>
    <x v="1"/>
    <n v="45443.54"/>
    <x v="220"/>
    <x v="220"/>
    <s v="Positive"/>
  </r>
  <r>
    <x v="93"/>
    <n v="10403"/>
    <x v="88"/>
    <x v="2"/>
    <n v="37258.94"/>
    <x v="221"/>
    <x v="221"/>
    <s v="Negative"/>
  </r>
  <r>
    <x v="94"/>
    <n v="10225"/>
    <x v="258"/>
    <x v="0"/>
    <n v="47375.92"/>
    <x v="0"/>
    <x v="0"/>
    <s v="First Order"/>
  </r>
  <r>
    <x v="94"/>
    <n v="10287"/>
    <x v="259"/>
    <x v="1"/>
    <n v="61402"/>
    <x v="222"/>
    <x v="222"/>
    <s v="Positive"/>
  </r>
  <r>
    <x v="95"/>
    <n v="10102"/>
    <x v="260"/>
    <x v="0"/>
    <n v="5494.78"/>
    <x v="0"/>
    <x v="0"/>
    <s v="First Order"/>
  </r>
  <r>
    <x v="95"/>
    <n v="10237"/>
    <x v="261"/>
    <x v="1"/>
    <n v="22602.36"/>
    <x v="223"/>
    <x v="223"/>
    <s v="Positive"/>
  </r>
  <r>
    <x v="95"/>
    <n v="10324"/>
    <x v="37"/>
    <x v="2"/>
    <n v="44400.5"/>
    <x v="224"/>
    <x v="224"/>
    <s v="Positive"/>
  </r>
  <r>
    <x v="96"/>
    <n v="10112"/>
    <x v="262"/>
    <x v="0"/>
    <n v="7674.94"/>
    <x v="0"/>
    <x v="0"/>
    <s v="First Order"/>
  </r>
  <r>
    <x v="96"/>
    <n v="10320"/>
    <x v="175"/>
    <x v="1"/>
    <n v="16799.03"/>
    <x v="225"/>
    <x v="225"/>
    <s v="Positive"/>
  </r>
  <r>
    <x v="96"/>
    <n v="10326"/>
    <x v="263"/>
    <x v="2"/>
    <n v="19206.68"/>
    <x v="226"/>
    <x v="226"/>
    <s v="Positive"/>
  </r>
  <r>
    <x v="96"/>
    <n v="10334"/>
    <x v="189"/>
    <x v="3"/>
    <n v="23014.17"/>
    <x v="227"/>
    <x v="227"/>
    <s v="Positive"/>
  </r>
  <r>
    <x v="97"/>
    <n v="10199"/>
    <x v="152"/>
    <x v="0"/>
    <n v="7678.25"/>
    <x v="0"/>
    <x v="0"/>
    <s v="First Order"/>
  </r>
  <r>
    <x v="97"/>
    <n v="10215"/>
    <x v="264"/>
    <x v="1"/>
    <n v="36070.47"/>
    <x v="228"/>
    <x v="228"/>
    <s v="Positiv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B55E95-94CD-469F-BDCE-1835954C6E4C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4" rowHeaderCaption="Number of Orders">
  <location ref="B8:C34" firstHeaderRow="1" firstDataRow="1" firstDataCol="1" rowPageCount="1" colPageCount="1"/>
  <pivotFields count="12">
    <pivotField axis="axisPage" showAll="0">
      <items count="99">
        <item x="0"/>
        <item x="1"/>
        <item x="2"/>
        <item x="3"/>
        <item x="4"/>
        <item x="5"/>
        <item x="6"/>
        <item x="8"/>
        <item x="9"/>
        <item x="7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50"/>
        <item x="51"/>
        <item x="52"/>
        <item x="49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showAll="0"/>
    <pivotField numFmtId="14" showAll="0">
      <items count="266">
        <item x="205"/>
        <item x="39"/>
        <item x="260"/>
        <item x="34"/>
        <item x="96"/>
        <item x="71"/>
        <item x="219"/>
        <item x="161"/>
        <item x="66"/>
        <item x="198"/>
        <item x="31"/>
        <item x="262"/>
        <item x="196"/>
        <item x="183"/>
        <item x="155"/>
        <item x="51"/>
        <item x="222"/>
        <item x="89"/>
        <item x="94"/>
        <item x="226"/>
        <item x="15"/>
        <item x="215"/>
        <item x="168"/>
        <item x="9"/>
        <item x="16"/>
        <item x="63"/>
        <item x="200"/>
        <item x="97"/>
        <item x="238"/>
        <item x="23"/>
        <item x="84"/>
        <item x="98"/>
        <item x="165"/>
        <item x="184"/>
        <item x="0"/>
        <item x="148"/>
        <item x="216"/>
        <item x="235"/>
        <item x="241"/>
        <item x="239"/>
        <item x="185"/>
        <item x="181"/>
        <item x="223"/>
        <item x="255"/>
        <item x="132"/>
        <item x="58"/>
        <item x="5"/>
        <item x="232"/>
        <item x="90"/>
        <item x="209"/>
        <item x="20"/>
        <item x="99"/>
        <item x="42"/>
        <item x="40"/>
        <item x="203"/>
        <item x="252"/>
        <item x="100"/>
        <item x="124"/>
        <item x="35"/>
        <item x="172"/>
        <item x="143"/>
        <item x="60"/>
        <item x="52"/>
        <item x="126"/>
        <item x="91"/>
        <item x="231"/>
        <item x="242"/>
        <item x="6"/>
        <item x="129"/>
        <item x="21"/>
        <item x="44"/>
        <item x="1"/>
        <item x="69"/>
        <item x="144"/>
        <item x="50"/>
        <item x="82"/>
        <item x="151"/>
        <item x="145"/>
        <item x="101"/>
        <item x="206"/>
        <item x="12"/>
        <item x="180"/>
        <item x="95"/>
        <item x="67"/>
        <item x="152"/>
        <item x="102"/>
        <item x="103"/>
        <item x="48"/>
        <item x="80"/>
        <item x="229"/>
        <item x="173"/>
        <item x="208"/>
        <item x="28"/>
        <item x="104"/>
        <item x="83"/>
        <item x="64"/>
        <item x="264"/>
        <item x="26"/>
        <item x="139"/>
        <item x="125"/>
        <item x="233"/>
        <item x="54"/>
        <item x="212"/>
        <item x="56"/>
        <item x="17"/>
        <item x="70"/>
        <item x="258"/>
        <item x="57"/>
        <item x="230"/>
        <item x="46"/>
        <item x="186"/>
        <item x="41"/>
        <item x="45"/>
        <item x="136"/>
        <item x="244"/>
        <item x="121"/>
        <item x="221"/>
        <item x="199"/>
        <item x="261"/>
        <item x="72"/>
        <item x="210"/>
        <item x="177"/>
        <item x="174"/>
        <item x="81"/>
        <item x="105"/>
        <item x="240"/>
        <item x="106"/>
        <item x="162"/>
        <item x="47"/>
        <item x="247"/>
        <item x="245"/>
        <item x="29"/>
        <item x="257"/>
        <item x="85"/>
        <item x="178"/>
        <item x="73"/>
        <item x="248"/>
        <item x="140"/>
        <item x="137"/>
        <item x="213"/>
        <item x="107"/>
        <item x="130"/>
        <item x="133"/>
        <item x="13"/>
        <item x="153"/>
        <item x="201"/>
        <item x="122"/>
        <item x="227"/>
        <item x="236"/>
        <item x="76"/>
        <item x="59"/>
        <item x="158"/>
        <item x="207"/>
        <item x="92"/>
        <item x="234"/>
        <item x="108"/>
        <item x="3"/>
        <item x="77"/>
        <item x="187"/>
        <item x="204"/>
        <item x="170"/>
        <item x="156"/>
        <item x="259"/>
        <item x="141"/>
        <item x="146"/>
        <item x="24"/>
        <item x="163"/>
        <item x="4"/>
        <item x="134"/>
        <item x="38"/>
        <item x="55"/>
        <item x="10"/>
        <item x="253"/>
        <item x="147"/>
        <item x="27"/>
        <item x="171"/>
        <item x="32"/>
        <item x="36"/>
        <item x="109"/>
        <item x="188"/>
        <item x="49"/>
        <item x="159"/>
        <item x="65"/>
        <item x="78"/>
        <item x="175"/>
        <item x="127"/>
        <item x="37"/>
        <item x="263"/>
        <item x="74"/>
        <item x="220"/>
        <item x="164"/>
        <item x="68"/>
        <item x="33"/>
        <item x="197"/>
        <item x="189"/>
        <item x="157"/>
        <item x="53"/>
        <item x="224"/>
        <item x="250"/>
        <item x="18"/>
        <item x="11"/>
        <item x="19"/>
        <item x="202"/>
        <item x="110"/>
        <item x="25"/>
        <item x="86"/>
        <item x="111"/>
        <item x="166"/>
        <item x="112"/>
        <item x="217"/>
        <item x="149"/>
        <item x="237"/>
        <item x="243"/>
        <item x="169"/>
        <item x="182"/>
        <item x="225"/>
        <item x="256"/>
        <item x="190"/>
        <item x="7"/>
        <item x="191"/>
        <item x="251"/>
        <item x="211"/>
        <item x="22"/>
        <item x="160"/>
        <item x="43"/>
        <item x="254"/>
        <item x="113"/>
        <item x="114"/>
        <item x="61"/>
        <item x="115"/>
        <item x="62"/>
        <item x="192"/>
        <item x="116"/>
        <item x="93"/>
        <item x="128"/>
        <item x="193"/>
        <item x="8"/>
        <item x="176"/>
        <item x="87"/>
        <item x="117"/>
        <item x="167"/>
        <item x="194"/>
        <item x="2"/>
        <item x="218"/>
        <item x="150"/>
        <item x="246"/>
        <item x="30"/>
        <item x="88"/>
        <item x="179"/>
        <item x="75"/>
        <item x="249"/>
        <item x="142"/>
        <item x="138"/>
        <item x="214"/>
        <item x="118"/>
        <item x="131"/>
        <item x="135"/>
        <item x="14"/>
        <item x="154"/>
        <item x="119"/>
        <item x="123"/>
        <item x="228"/>
        <item x="195"/>
        <item x="79"/>
        <item x="120"/>
        <item t="default"/>
      </items>
    </pivotField>
    <pivotField name="Number of Orders" axis="axisRow" showAll="0">
      <items count="27">
        <item sd="0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/>
    <pivotField showAll="0"/>
    <pivotField dataField="1" showAll="0"/>
    <pivotField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</rowItems>
  <colItems count="1">
    <i/>
  </colItems>
  <pageFields count="1">
    <pageField fld="0" hier="-1"/>
  </pageFields>
  <dataFields count="1">
    <dataField name="Average Order Value Change" fld="6" subtotal="average" baseField="3" baseItem="0" numFmtId="44"/>
  </dataFields>
  <formats count="7">
    <format dxfId="59">
      <pivotArea collapsedLevelsAreSubtotals="1" fieldPosition="0">
        <references count="1">
          <reference field="3" count="1">
            <x v="3"/>
          </reference>
        </references>
      </pivotArea>
    </format>
    <format dxfId="60">
      <pivotArea dataOnly="0" labelOnly="1" outline="0" axis="axisValues" fieldPosition="0"/>
    </format>
    <format dxfId="61">
      <pivotArea outline="0" collapsedLevelsAreSubtotals="1" fieldPosition="0"/>
    </format>
    <format dxfId="62">
      <pivotArea dataOnly="0" labelOnly="1" outline="0" fieldPosition="0">
        <references count="1">
          <reference field="0" count="1">
            <x v="34"/>
          </reference>
        </references>
      </pivotArea>
    </format>
    <format dxfId="63">
      <pivotArea dataOnly="0" labelOnly="1" outline="0" fieldPosition="0">
        <references count="1">
          <reference field="0" count="1">
            <x v="34"/>
          </reference>
        </references>
      </pivotArea>
    </format>
    <format dxfId="64">
      <pivotArea field="0" type="button" dataOnly="0" labelOnly="1" outline="0" axis="axisPage" fieldPosition="0"/>
    </format>
    <format dxfId="65">
      <pivotArea field="0" type="button" dataOnly="0" labelOnly="1" outline="0" axis="axisPage" fieldPosition="0"/>
    </format>
  </formats>
  <conditionalFormats count="2"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4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2"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AFF647-D510-4F28-9657-120960ED8CFF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0" rowHeaderCaption="Customer">
  <location ref="K8:M106" firstHeaderRow="0" firstDataRow="1" firstDataCol="1"/>
  <pivotFields count="12">
    <pivotField axis="axisRow" showAll="0" sortType="descending">
      <items count="99">
        <item x="0"/>
        <item x="1"/>
        <item x="2"/>
        <item x="3"/>
        <item x="4"/>
        <item x="5"/>
        <item x="6"/>
        <item x="8"/>
        <item x="9"/>
        <item x="7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50"/>
        <item x="51"/>
        <item x="52"/>
        <item x="49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numFmtId="14" showAll="0">
      <items count="266">
        <item x="205"/>
        <item x="39"/>
        <item x="260"/>
        <item x="34"/>
        <item x="96"/>
        <item x="71"/>
        <item x="219"/>
        <item x="161"/>
        <item x="66"/>
        <item x="198"/>
        <item x="31"/>
        <item x="262"/>
        <item x="196"/>
        <item x="183"/>
        <item x="155"/>
        <item x="51"/>
        <item x="222"/>
        <item x="89"/>
        <item x="94"/>
        <item x="226"/>
        <item x="15"/>
        <item x="215"/>
        <item x="168"/>
        <item x="9"/>
        <item x="16"/>
        <item x="63"/>
        <item x="200"/>
        <item x="97"/>
        <item x="238"/>
        <item x="23"/>
        <item x="84"/>
        <item x="98"/>
        <item x="165"/>
        <item x="184"/>
        <item x="0"/>
        <item x="148"/>
        <item x="216"/>
        <item x="235"/>
        <item x="241"/>
        <item x="239"/>
        <item x="185"/>
        <item x="181"/>
        <item x="223"/>
        <item x="255"/>
        <item x="132"/>
        <item x="58"/>
        <item x="5"/>
        <item x="232"/>
        <item x="90"/>
        <item x="209"/>
        <item x="20"/>
        <item x="99"/>
        <item x="42"/>
        <item x="40"/>
        <item x="203"/>
        <item x="252"/>
        <item x="100"/>
        <item x="124"/>
        <item x="35"/>
        <item x="172"/>
        <item x="143"/>
        <item x="60"/>
        <item x="52"/>
        <item x="126"/>
        <item x="91"/>
        <item x="231"/>
        <item x="242"/>
        <item x="6"/>
        <item x="129"/>
        <item x="21"/>
        <item x="44"/>
        <item x="1"/>
        <item x="69"/>
        <item x="144"/>
        <item x="50"/>
        <item x="82"/>
        <item x="151"/>
        <item x="145"/>
        <item x="101"/>
        <item x="206"/>
        <item x="12"/>
        <item x="180"/>
        <item x="95"/>
        <item x="67"/>
        <item x="152"/>
        <item x="102"/>
        <item x="103"/>
        <item x="48"/>
        <item x="80"/>
        <item x="229"/>
        <item x="173"/>
        <item x="208"/>
        <item x="28"/>
        <item x="104"/>
        <item x="83"/>
        <item x="64"/>
        <item x="264"/>
        <item x="26"/>
        <item x="139"/>
        <item x="125"/>
        <item x="233"/>
        <item x="54"/>
        <item x="212"/>
        <item x="56"/>
        <item x="17"/>
        <item x="70"/>
        <item x="258"/>
        <item x="57"/>
        <item x="230"/>
        <item x="46"/>
        <item x="186"/>
        <item x="41"/>
        <item x="45"/>
        <item x="136"/>
        <item x="244"/>
        <item x="121"/>
        <item x="221"/>
        <item x="199"/>
        <item x="261"/>
        <item x="72"/>
        <item x="210"/>
        <item x="177"/>
        <item x="174"/>
        <item x="81"/>
        <item x="105"/>
        <item x="240"/>
        <item x="106"/>
        <item x="162"/>
        <item x="47"/>
        <item x="247"/>
        <item x="245"/>
        <item x="29"/>
        <item x="257"/>
        <item x="85"/>
        <item x="178"/>
        <item x="73"/>
        <item x="248"/>
        <item x="140"/>
        <item x="137"/>
        <item x="213"/>
        <item x="107"/>
        <item x="130"/>
        <item x="133"/>
        <item x="13"/>
        <item x="153"/>
        <item x="201"/>
        <item x="122"/>
        <item x="227"/>
        <item x="236"/>
        <item x="76"/>
        <item x="59"/>
        <item x="158"/>
        <item x="207"/>
        <item x="92"/>
        <item x="234"/>
        <item x="108"/>
        <item x="3"/>
        <item x="77"/>
        <item x="187"/>
        <item x="204"/>
        <item x="170"/>
        <item x="156"/>
        <item x="259"/>
        <item x="141"/>
        <item x="146"/>
        <item x="24"/>
        <item x="163"/>
        <item x="4"/>
        <item x="134"/>
        <item x="38"/>
        <item x="55"/>
        <item x="10"/>
        <item x="253"/>
        <item x="147"/>
        <item x="27"/>
        <item x="171"/>
        <item x="32"/>
        <item x="36"/>
        <item x="109"/>
        <item x="188"/>
        <item x="49"/>
        <item x="159"/>
        <item x="65"/>
        <item x="78"/>
        <item x="175"/>
        <item x="127"/>
        <item x="37"/>
        <item x="263"/>
        <item x="74"/>
        <item x="220"/>
        <item x="164"/>
        <item x="68"/>
        <item x="33"/>
        <item x="197"/>
        <item x="189"/>
        <item x="157"/>
        <item x="53"/>
        <item x="224"/>
        <item x="250"/>
        <item x="18"/>
        <item x="11"/>
        <item x="19"/>
        <item x="202"/>
        <item x="110"/>
        <item x="25"/>
        <item x="86"/>
        <item x="111"/>
        <item x="166"/>
        <item x="112"/>
        <item x="217"/>
        <item x="149"/>
        <item x="237"/>
        <item x="243"/>
        <item x="169"/>
        <item x="182"/>
        <item x="225"/>
        <item x="256"/>
        <item x="190"/>
        <item x="7"/>
        <item x="191"/>
        <item x="251"/>
        <item x="211"/>
        <item x="22"/>
        <item x="160"/>
        <item x="43"/>
        <item x="254"/>
        <item x="113"/>
        <item x="114"/>
        <item x="61"/>
        <item x="115"/>
        <item x="62"/>
        <item x="192"/>
        <item x="116"/>
        <item x="93"/>
        <item x="128"/>
        <item x="193"/>
        <item x="8"/>
        <item x="176"/>
        <item x="87"/>
        <item x="117"/>
        <item x="167"/>
        <item x="194"/>
        <item x="2"/>
        <item x="218"/>
        <item x="150"/>
        <item x="246"/>
        <item x="30"/>
        <item x="88"/>
        <item x="179"/>
        <item x="75"/>
        <item x="249"/>
        <item x="142"/>
        <item x="138"/>
        <item x="214"/>
        <item x="118"/>
        <item x="131"/>
        <item x="135"/>
        <item x="14"/>
        <item x="154"/>
        <item x="119"/>
        <item x="123"/>
        <item x="228"/>
        <item x="195"/>
        <item x="79"/>
        <item x="120"/>
        <item t="default"/>
      </items>
    </pivotField>
    <pivotField showAll="0"/>
    <pivotField dataField="1" showAll="0"/>
    <pivotField showAll="0"/>
    <pivotField showAll="0"/>
    <pivotField showAll="0"/>
    <pivotField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0"/>
  </rowFields>
  <rowItems count="98">
    <i>
      <x v="34"/>
    </i>
    <i>
      <x v="62"/>
    </i>
    <i>
      <x v="5"/>
    </i>
    <i>
      <x v="65"/>
    </i>
    <i>
      <x v="50"/>
    </i>
    <i>
      <x v="32"/>
    </i>
    <i>
      <x v="31"/>
    </i>
    <i>
      <x v="51"/>
    </i>
    <i>
      <x v="10"/>
    </i>
    <i>
      <x v="88"/>
    </i>
    <i>
      <x v="77"/>
    </i>
    <i>
      <x v="47"/>
    </i>
    <i>
      <x v="2"/>
    </i>
    <i>
      <x v="82"/>
    </i>
    <i>
      <x v="23"/>
    </i>
    <i>
      <x v="78"/>
    </i>
    <i>
      <x v="27"/>
    </i>
    <i>
      <x v="74"/>
    </i>
    <i>
      <x v="73"/>
    </i>
    <i>
      <x v="52"/>
    </i>
    <i>
      <x v="79"/>
    </i>
    <i>
      <x v="67"/>
    </i>
    <i>
      <x v="24"/>
    </i>
    <i>
      <x v="94"/>
    </i>
    <i>
      <x v="43"/>
    </i>
    <i>
      <x v="93"/>
    </i>
    <i>
      <x v="89"/>
    </i>
    <i>
      <x v="86"/>
    </i>
    <i>
      <x v="28"/>
    </i>
    <i>
      <x v="11"/>
    </i>
    <i>
      <x v="84"/>
    </i>
    <i>
      <x v="61"/>
    </i>
    <i>
      <x v="45"/>
    </i>
    <i>
      <x v="70"/>
    </i>
    <i>
      <x v="91"/>
    </i>
    <i>
      <x v="38"/>
    </i>
    <i>
      <x v="42"/>
    </i>
    <i>
      <x v="92"/>
    </i>
    <i>
      <x v="55"/>
    </i>
    <i>
      <x v="35"/>
    </i>
    <i>
      <x v="44"/>
    </i>
    <i>
      <x v="90"/>
    </i>
    <i>
      <x v="37"/>
    </i>
    <i>
      <x v="25"/>
    </i>
    <i>
      <x v="49"/>
    </i>
    <i>
      <x v="8"/>
    </i>
    <i>
      <x v="40"/>
    </i>
    <i>
      <x v="1"/>
    </i>
    <i>
      <x v="87"/>
    </i>
    <i>
      <x v="83"/>
    </i>
    <i>
      <x v="21"/>
    </i>
    <i>
      <x v="81"/>
    </i>
    <i>
      <x v="60"/>
    </i>
    <i>
      <x v="64"/>
    </i>
    <i>
      <x v="13"/>
    </i>
    <i>
      <x v="59"/>
    </i>
    <i>
      <x v="22"/>
    </i>
    <i>
      <x v="95"/>
    </i>
    <i>
      <x v="41"/>
    </i>
    <i>
      <x v="54"/>
    </i>
    <i>
      <x v="71"/>
    </i>
    <i>
      <x v="85"/>
    </i>
    <i>
      <x v="17"/>
    </i>
    <i>
      <x v="19"/>
    </i>
    <i>
      <x v="66"/>
    </i>
    <i>
      <x v="72"/>
    </i>
    <i>
      <x v="33"/>
    </i>
    <i>
      <x v="53"/>
    </i>
    <i>
      <x v="75"/>
    </i>
    <i>
      <x v="63"/>
    </i>
    <i>
      <x v="96"/>
    </i>
    <i>
      <x v="29"/>
    </i>
    <i>
      <x v="69"/>
    </i>
    <i>
      <x v="26"/>
    </i>
    <i>
      <x/>
    </i>
    <i>
      <x v="7"/>
    </i>
    <i>
      <x v="18"/>
    </i>
    <i>
      <x v="4"/>
    </i>
    <i>
      <x v="68"/>
    </i>
    <i>
      <x v="6"/>
    </i>
    <i>
      <x v="58"/>
    </i>
    <i>
      <x v="46"/>
    </i>
    <i>
      <x v="39"/>
    </i>
    <i>
      <x v="20"/>
    </i>
    <i>
      <x v="15"/>
    </i>
    <i>
      <x v="48"/>
    </i>
    <i>
      <x v="97"/>
    </i>
    <i>
      <x v="80"/>
    </i>
    <i>
      <x v="56"/>
    </i>
    <i>
      <x v="16"/>
    </i>
    <i>
      <x v="12"/>
    </i>
    <i>
      <x v="30"/>
    </i>
    <i>
      <x v="57"/>
    </i>
    <i>
      <x v="76"/>
    </i>
    <i>
      <x v="36"/>
    </i>
    <i>
      <x v="3"/>
    </i>
    <i>
      <x v="9"/>
    </i>
    <i>
      <x v="14"/>
    </i>
  </rowItems>
  <colFields count="1">
    <field x="-2"/>
  </colFields>
  <colItems count="2">
    <i>
      <x/>
    </i>
    <i i="1">
      <x v="1"/>
    </i>
  </colItems>
  <dataFields count="2">
    <dataField name="Number of Orders" fld="1" subtotal="count" baseField="0" baseItem="77"/>
    <dataField name="Lifetime Order Amount" fld="4" baseField="0" baseItem="0" numFmtId="44"/>
  </dataFields>
  <formats count="3">
    <format dxfId="5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6433FA-C005-46B9-8A52-EDEA586E9E0A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Customer">
  <location ref="E8:I105" firstHeaderRow="0" firstDataRow="1" firstDataCol="1" rowPageCount="1" colPageCount="1"/>
  <pivotFields count="12">
    <pivotField axis="axisRow" showAll="0" sortType="descending">
      <items count="99">
        <item x="0"/>
        <item x="1"/>
        <item x="2"/>
        <item x="3"/>
        <item x="4"/>
        <item x="5"/>
        <item x="6"/>
        <item x="8"/>
        <item x="9"/>
        <item x="7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50"/>
        <item x="51"/>
        <item x="52"/>
        <item x="49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showAll="0"/>
    <pivotField numFmtId="14" showAll="0">
      <items count="266">
        <item x="205"/>
        <item x="39"/>
        <item x="260"/>
        <item x="34"/>
        <item x="96"/>
        <item x="71"/>
        <item x="219"/>
        <item x="161"/>
        <item x="66"/>
        <item x="198"/>
        <item x="31"/>
        <item x="262"/>
        <item x="196"/>
        <item x="183"/>
        <item x="155"/>
        <item x="51"/>
        <item x="222"/>
        <item x="89"/>
        <item x="94"/>
        <item x="226"/>
        <item x="15"/>
        <item x="215"/>
        <item x="168"/>
        <item x="9"/>
        <item x="16"/>
        <item x="63"/>
        <item x="200"/>
        <item x="97"/>
        <item x="238"/>
        <item x="23"/>
        <item x="84"/>
        <item x="98"/>
        <item x="165"/>
        <item x="184"/>
        <item x="0"/>
        <item x="148"/>
        <item x="216"/>
        <item x="235"/>
        <item x="241"/>
        <item x="239"/>
        <item x="185"/>
        <item x="181"/>
        <item x="223"/>
        <item x="255"/>
        <item x="132"/>
        <item x="58"/>
        <item x="5"/>
        <item x="232"/>
        <item x="90"/>
        <item x="209"/>
        <item x="20"/>
        <item x="99"/>
        <item x="42"/>
        <item x="40"/>
        <item x="203"/>
        <item x="252"/>
        <item x="100"/>
        <item x="124"/>
        <item x="35"/>
        <item x="172"/>
        <item x="143"/>
        <item x="60"/>
        <item x="52"/>
        <item x="126"/>
        <item x="91"/>
        <item x="231"/>
        <item x="242"/>
        <item x="6"/>
        <item x="129"/>
        <item x="21"/>
        <item x="44"/>
        <item x="1"/>
        <item x="69"/>
        <item x="144"/>
        <item x="50"/>
        <item x="82"/>
        <item x="151"/>
        <item x="145"/>
        <item x="101"/>
        <item x="206"/>
        <item x="12"/>
        <item x="180"/>
        <item x="95"/>
        <item x="67"/>
        <item x="152"/>
        <item x="102"/>
        <item x="103"/>
        <item x="48"/>
        <item x="80"/>
        <item x="229"/>
        <item x="173"/>
        <item x="208"/>
        <item x="28"/>
        <item x="104"/>
        <item x="83"/>
        <item x="64"/>
        <item x="264"/>
        <item x="26"/>
        <item x="139"/>
        <item x="125"/>
        <item x="233"/>
        <item x="54"/>
        <item x="212"/>
        <item x="56"/>
        <item x="17"/>
        <item x="70"/>
        <item x="258"/>
        <item x="57"/>
        <item x="230"/>
        <item x="46"/>
        <item x="186"/>
        <item x="41"/>
        <item x="45"/>
        <item x="136"/>
        <item x="244"/>
        <item x="121"/>
        <item x="221"/>
        <item x="199"/>
        <item x="261"/>
        <item x="72"/>
        <item x="210"/>
        <item x="177"/>
        <item x="174"/>
        <item x="81"/>
        <item x="105"/>
        <item x="240"/>
        <item x="106"/>
        <item x="162"/>
        <item x="47"/>
        <item x="247"/>
        <item x="245"/>
        <item x="29"/>
        <item x="257"/>
        <item x="85"/>
        <item x="178"/>
        <item x="73"/>
        <item x="248"/>
        <item x="140"/>
        <item x="137"/>
        <item x="213"/>
        <item x="107"/>
        <item x="130"/>
        <item x="133"/>
        <item x="13"/>
        <item x="153"/>
        <item x="201"/>
        <item x="122"/>
        <item x="227"/>
        <item x="236"/>
        <item x="76"/>
        <item x="59"/>
        <item x="158"/>
        <item x="207"/>
        <item x="92"/>
        <item x="234"/>
        <item x="108"/>
        <item x="3"/>
        <item x="77"/>
        <item x="187"/>
        <item x="204"/>
        <item x="170"/>
        <item x="156"/>
        <item x="259"/>
        <item x="141"/>
        <item x="146"/>
        <item x="24"/>
        <item x="163"/>
        <item x="4"/>
        <item x="134"/>
        <item x="38"/>
        <item x="55"/>
        <item x="10"/>
        <item x="253"/>
        <item x="147"/>
        <item x="27"/>
        <item x="171"/>
        <item x="32"/>
        <item x="36"/>
        <item x="109"/>
        <item x="188"/>
        <item x="49"/>
        <item x="159"/>
        <item x="65"/>
        <item x="78"/>
        <item x="175"/>
        <item x="127"/>
        <item x="37"/>
        <item x="263"/>
        <item x="74"/>
        <item x="220"/>
        <item x="164"/>
        <item x="68"/>
        <item x="33"/>
        <item x="197"/>
        <item x="189"/>
        <item x="157"/>
        <item x="53"/>
        <item x="224"/>
        <item x="250"/>
        <item x="18"/>
        <item x="11"/>
        <item x="19"/>
        <item x="202"/>
        <item x="110"/>
        <item x="25"/>
        <item x="86"/>
        <item x="111"/>
        <item x="166"/>
        <item x="112"/>
        <item x="217"/>
        <item x="149"/>
        <item x="237"/>
        <item x="243"/>
        <item x="169"/>
        <item x="182"/>
        <item x="225"/>
        <item x="256"/>
        <item x="190"/>
        <item x="7"/>
        <item x="191"/>
        <item x="251"/>
        <item x="211"/>
        <item x="22"/>
        <item x="160"/>
        <item x="43"/>
        <item x="254"/>
        <item x="113"/>
        <item x="114"/>
        <item x="61"/>
        <item x="115"/>
        <item x="62"/>
        <item x="192"/>
        <item x="116"/>
        <item x="93"/>
        <item x="128"/>
        <item x="193"/>
        <item x="8"/>
        <item x="176"/>
        <item x="87"/>
        <item x="117"/>
        <item x="167"/>
        <item x="194"/>
        <item x="2"/>
        <item x="218"/>
        <item x="150"/>
        <item x="246"/>
        <item x="30"/>
        <item x="88"/>
        <item x="179"/>
        <item x="75"/>
        <item x="249"/>
        <item x="142"/>
        <item x="138"/>
        <item x="214"/>
        <item x="118"/>
        <item x="131"/>
        <item x="135"/>
        <item x="14"/>
        <item x="154"/>
        <item x="119"/>
        <item x="123"/>
        <item x="228"/>
        <item x="195"/>
        <item x="79"/>
        <item x="120"/>
        <item t="default"/>
      </items>
    </pivotField>
    <pivotField axis="axisPage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dataField="1" showAll="0"/>
    <pivotField dataField="1" showAll="0">
      <items count="230">
        <item x="0"/>
        <item x="184"/>
        <item x="25"/>
        <item x="183"/>
        <item x="134"/>
        <item x="121"/>
        <item x="206"/>
        <item x="65"/>
        <item x="58"/>
        <item x="66"/>
        <item x="219"/>
        <item x="30"/>
        <item x="155"/>
        <item x="72"/>
        <item x="138"/>
        <item x="51"/>
        <item x="223"/>
        <item x="19"/>
        <item x="18"/>
        <item x="161"/>
        <item x="17"/>
        <item x="8"/>
        <item x="187"/>
        <item x="150"/>
        <item x="101"/>
        <item x="207"/>
        <item x="12"/>
        <item x="225"/>
        <item x="228"/>
        <item x="10"/>
        <item x="15"/>
        <item x="96"/>
        <item x="166"/>
        <item x="27"/>
        <item x="73"/>
        <item x="142"/>
        <item x="185"/>
        <item x="40"/>
        <item x="75"/>
        <item x="152"/>
        <item x="69"/>
        <item x="177"/>
        <item x="1"/>
        <item x="7"/>
        <item x="103"/>
        <item x="136"/>
        <item x="171"/>
        <item x="158"/>
        <item x="85"/>
        <item x="176"/>
        <item x="210"/>
        <item x="226"/>
        <item x="172"/>
        <item x="174"/>
        <item x="100"/>
        <item x="178"/>
        <item x="95"/>
        <item x="26"/>
        <item x="90"/>
        <item x="102"/>
        <item x="131"/>
        <item x="227"/>
        <item x="123"/>
        <item x="80"/>
        <item x="105"/>
        <item x="164"/>
        <item x="32"/>
        <item x="133"/>
        <item x="52"/>
        <item x="47"/>
        <item x="35"/>
        <item x="212"/>
        <item x="36"/>
        <item x="45"/>
        <item x="57"/>
        <item x="125"/>
        <item x="70"/>
        <item x="107"/>
        <item x="224"/>
        <item x="115"/>
        <item x="175"/>
        <item x="128"/>
        <item x="53"/>
        <item x="220"/>
        <item x="159"/>
        <item x="16"/>
        <item x="196"/>
        <item x="28"/>
        <item x="98"/>
        <item x="104"/>
        <item x="21"/>
        <item x="83"/>
        <item x="160"/>
        <item x="77"/>
        <item x="129"/>
        <item x="6"/>
        <item x="135"/>
        <item x="157"/>
        <item x="215"/>
        <item x="50"/>
        <item x="117"/>
        <item x="202"/>
        <item x="92"/>
        <item x="182"/>
        <item x="199"/>
        <item x="201"/>
        <item x="112"/>
        <item x="193"/>
        <item x="42"/>
        <item x="208"/>
        <item x="31"/>
        <item x="93"/>
        <item x="211"/>
        <item x="198"/>
        <item x="114"/>
        <item x="86"/>
        <item x="37"/>
        <item x="179"/>
        <item x="43"/>
        <item x="194"/>
        <item x="39"/>
        <item x="170"/>
        <item x="195"/>
        <item x="120"/>
        <item x="61"/>
        <item x="2"/>
        <item x="29"/>
        <item x="214"/>
        <item x="217"/>
        <item x="87"/>
        <item x="34"/>
        <item x="94"/>
        <item x="153"/>
        <item x="55"/>
        <item x="127"/>
        <item x="78"/>
        <item x="9"/>
        <item x="197"/>
        <item x="186"/>
        <item x="137"/>
        <item x="139"/>
        <item x="81"/>
        <item x="110"/>
        <item x="33"/>
        <item x="165"/>
        <item x="88"/>
        <item x="59"/>
        <item x="147"/>
        <item x="200"/>
        <item x="216"/>
        <item x="181"/>
        <item x="106"/>
        <item x="203"/>
        <item x="63"/>
        <item x="118"/>
        <item x="5"/>
        <item x="204"/>
        <item x="109"/>
        <item x="60"/>
        <item x="54"/>
        <item x="189"/>
        <item x="74"/>
        <item x="68"/>
        <item x="14"/>
        <item x="67"/>
        <item x="151"/>
        <item x="140"/>
        <item x="126"/>
        <item x="4"/>
        <item x="99"/>
        <item x="48"/>
        <item x="209"/>
        <item x="188"/>
        <item x="132"/>
        <item x="146"/>
        <item x="108"/>
        <item x="191"/>
        <item x="84"/>
        <item x="62"/>
        <item x="13"/>
        <item x="71"/>
        <item x="145"/>
        <item x="173"/>
        <item x="221"/>
        <item x="11"/>
        <item x="82"/>
        <item x="91"/>
        <item x="89"/>
        <item x="79"/>
        <item x="169"/>
        <item x="222"/>
        <item x="113"/>
        <item x="154"/>
        <item x="122"/>
        <item x="148"/>
        <item x="3"/>
        <item x="97"/>
        <item x="22"/>
        <item x="192"/>
        <item x="213"/>
        <item x="20"/>
        <item x="124"/>
        <item x="190"/>
        <item x="24"/>
        <item x="218"/>
        <item x="205"/>
        <item x="130"/>
        <item x="46"/>
        <item x="168"/>
        <item x="119"/>
        <item x="180"/>
        <item x="116"/>
        <item x="141"/>
        <item x="23"/>
        <item x="49"/>
        <item x="41"/>
        <item x="111"/>
        <item x="167"/>
        <item x="143"/>
        <item x="149"/>
        <item x="156"/>
        <item x="144"/>
        <item x="38"/>
        <item x="44"/>
        <item x="163"/>
        <item x="162"/>
        <item x="56"/>
        <item x="76"/>
        <item x="64"/>
        <item t="default"/>
      </items>
    </pivotField>
    <pivotField dataField="1" showAll="0">
      <items count="230">
        <item x="64"/>
        <item x="56"/>
        <item x="149"/>
        <item x="24"/>
        <item x="205"/>
        <item x="168"/>
        <item x="218"/>
        <item x="141"/>
        <item x="113"/>
        <item x="154"/>
        <item x="71"/>
        <item x="163"/>
        <item x="11"/>
        <item x="173"/>
        <item x="109"/>
        <item x="44"/>
        <item x="76"/>
        <item x="214"/>
        <item x="38"/>
        <item x="169"/>
        <item x="130"/>
        <item x="137"/>
        <item x="120"/>
        <item x="46"/>
        <item x="186"/>
        <item x="55"/>
        <item x="89"/>
        <item x="122"/>
        <item x="156"/>
        <item x="84"/>
        <item x="79"/>
        <item x="74"/>
        <item x="151"/>
        <item x="29"/>
        <item x="68"/>
        <item x="9"/>
        <item x="209"/>
        <item x="49"/>
        <item x="111"/>
        <item x="20"/>
        <item x="41"/>
        <item x="48"/>
        <item x="200"/>
        <item x="50"/>
        <item x="116"/>
        <item x="2"/>
        <item x="82"/>
        <item x="192"/>
        <item x="39"/>
        <item x="157"/>
        <item x="160"/>
        <item x="195"/>
        <item x="43"/>
        <item x="91"/>
        <item x="97"/>
        <item x="193"/>
        <item x="112"/>
        <item x="131"/>
        <item x="170"/>
        <item x="119"/>
        <item x="31"/>
        <item x="67"/>
        <item x="37"/>
        <item x="57"/>
        <item x="213"/>
        <item x="180"/>
        <item x="3"/>
        <item x="99"/>
        <item x="21"/>
        <item x="135"/>
        <item x="5"/>
        <item x="94"/>
        <item x="34"/>
        <item x="117"/>
        <item x="144"/>
        <item x="217"/>
        <item x="100"/>
        <item x="95"/>
        <item x="114"/>
        <item x="190"/>
        <item x="32"/>
        <item x="7"/>
        <item x="129"/>
        <item x="221"/>
        <item x="124"/>
        <item x="136"/>
        <item x="126"/>
        <item x="62"/>
        <item x="146"/>
        <item x="203"/>
        <item x="60"/>
        <item x="23"/>
        <item x="108"/>
        <item x="47"/>
        <item x="13"/>
        <item x="167"/>
        <item x="165"/>
        <item x="54"/>
        <item x="8"/>
        <item x="197"/>
        <item x="102"/>
        <item x="216"/>
        <item x="4"/>
        <item x="33"/>
        <item x="176"/>
        <item x="16"/>
        <item x="145"/>
        <item x="106"/>
        <item x="201"/>
        <item x="30"/>
        <item x="183"/>
        <item x="17"/>
        <item x="181"/>
        <item x="162"/>
        <item x="0"/>
        <item x="35"/>
        <item x="143"/>
        <item x="133"/>
        <item x="194"/>
        <item x="92"/>
        <item x="65"/>
        <item x="52"/>
        <item x="10"/>
        <item x="14"/>
        <item x="42"/>
        <item x="86"/>
        <item x="59"/>
        <item x="185"/>
        <item x="159"/>
        <item x="226"/>
        <item x="87"/>
        <item x="6"/>
        <item x="128"/>
        <item x="177"/>
        <item x="93"/>
        <item x="36"/>
        <item x="18"/>
        <item x="227"/>
        <item x="132"/>
        <item x="22"/>
        <item x="191"/>
        <item x="175"/>
        <item x="174"/>
        <item x="72"/>
        <item x="139"/>
        <item x="158"/>
        <item x="148"/>
        <item x="61"/>
        <item x="199"/>
        <item x="182"/>
        <item x="69"/>
        <item x="225"/>
        <item x="77"/>
        <item x="188"/>
        <item x="28"/>
        <item x="189"/>
        <item x="88"/>
        <item x="206"/>
        <item x="81"/>
        <item x="198"/>
        <item x="147"/>
        <item x="184"/>
        <item x="45"/>
        <item x="140"/>
        <item x="78"/>
        <item x="196"/>
        <item x="204"/>
        <item x="208"/>
        <item x="153"/>
        <item x="118"/>
        <item x="27"/>
        <item x="222"/>
        <item x="179"/>
        <item x="15"/>
        <item x="127"/>
        <item x="210"/>
        <item x="178"/>
        <item x="85"/>
        <item x="40"/>
        <item x="51"/>
        <item x="53"/>
        <item x="80"/>
        <item x="25"/>
        <item x="26"/>
        <item x="223"/>
        <item x="98"/>
        <item x="202"/>
        <item x="105"/>
        <item x="110"/>
        <item x="83"/>
        <item x="125"/>
        <item x="1"/>
        <item x="164"/>
        <item x="101"/>
        <item x="211"/>
        <item x="152"/>
        <item x="220"/>
        <item x="107"/>
        <item x="104"/>
        <item x="224"/>
        <item x="70"/>
        <item x="207"/>
        <item x="134"/>
        <item x="212"/>
        <item x="228"/>
        <item x="172"/>
        <item x="90"/>
        <item x="63"/>
        <item x="115"/>
        <item x="73"/>
        <item x="123"/>
        <item x="138"/>
        <item x="171"/>
        <item x="215"/>
        <item x="150"/>
        <item x="58"/>
        <item x="219"/>
        <item x="103"/>
        <item x="187"/>
        <item x="12"/>
        <item x="66"/>
        <item x="96"/>
        <item x="161"/>
        <item x="142"/>
        <item x="166"/>
        <item x="75"/>
        <item x="19"/>
        <item x="121"/>
        <item x="155"/>
        <item t="default"/>
      </items>
    </pivotField>
    <pivotField showAl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0"/>
  </rowFields>
  <rowItems count="97">
    <i>
      <x v="57"/>
    </i>
    <i>
      <x v="33"/>
    </i>
    <i>
      <x v="31"/>
    </i>
    <i>
      <x v="7"/>
    </i>
    <i>
      <x v="67"/>
    </i>
    <i>
      <x v="62"/>
    </i>
    <i>
      <x v="37"/>
    </i>
    <i>
      <x v="97"/>
    </i>
    <i>
      <x v="87"/>
    </i>
    <i>
      <x v="95"/>
    </i>
    <i>
      <x v="71"/>
    </i>
    <i>
      <x v="6"/>
    </i>
    <i>
      <x/>
    </i>
    <i>
      <x v="13"/>
    </i>
    <i>
      <x v="89"/>
    </i>
    <i>
      <x v="96"/>
    </i>
    <i>
      <x v="90"/>
    </i>
    <i>
      <x v="43"/>
    </i>
    <i>
      <x v="93"/>
    </i>
    <i>
      <x v="41"/>
    </i>
    <i>
      <x v="42"/>
    </i>
    <i>
      <x v="51"/>
    </i>
    <i>
      <x v="38"/>
    </i>
    <i>
      <x v="28"/>
    </i>
    <i>
      <x v="82"/>
    </i>
    <i>
      <x v="44"/>
    </i>
    <i>
      <x v="63"/>
    </i>
    <i>
      <x v="72"/>
    </i>
    <i>
      <x v="52"/>
    </i>
    <i>
      <x v="86"/>
    </i>
    <i>
      <x v="94"/>
    </i>
    <i>
      <x v="75"/>
    </i>
    <i>
      <x v="61"/>
    </i>
    <i>
      <x v="83"/>
    </i>
    <i>
      <x v="78"/>
    </i>
    <i>
      <x v="60"/>
    </i>
    <i>
      <x v="53"/>
    </i>
    <i>
      <x v="35"/>
    </i>
    <i>
      <x v="79"/>
    </i>
    <i>
      <x v="55"/>
    </i>
    <i>
      <x v="10"/>
    </i>
    <i>
      <x v="56"/>
    </i>
    <i>
      <x v="81"/>
    </i>
    <i>
      <x v="19"/>
    </i>
    <i>
      <x v="65"/>
    </i>
    <i>
      <x v="9"/>
    </i>
    <i>
      <x v="84"/>
    </i>
    <i>
      <x v="2"/>
    </i>
    <i>
      <x v="17"/>
    </i>
    <i>
      <x v="91"/>
    </i>
    <i>
      <x v="66"/>
    </i>
    <i>
      <x v="32"/>
    </i>
    <i>
      <x v="85"/>
    </i>
    <i>
      <x v="73"/>
    </i>
    <i>
      <x v="40"/>
    </i>
    <i>
      <x v="14"/>
    </i>
    <i>
      <x v="74"/>
    </i>
    <i>
      <x v="47"/>
    </i>
    <i>
      <x v="1"/>
    </i>
    <i>
      <x v="76"/>
    </i>
    <i>
      <x v="18"/>
    </i>
    <i>
      <x v="48"/>
    </i>
    <i>
      <x v="16"/>
    </i>
    <i>
      <x v="23"/>
    </i>
    <i>
      <x v="58"/>
    </i>
    <i>
      <x v="45"/>
    </i>
    <i>
      <x v="20"/>
    </i>
    <i>
      <x v="27"/>
    </i>
    <i>
      <x v="8"/>
    </i>
    <i>
      <x v="70"/>
    </i>
    <i>
      <x v="15"/>
    </i>
    <i>
      <x v="26"/>
    </i>
    <i>
      <x v="36"/>
    </i>
    <i>
      <x v="80"/>
    </i>
    <i>
      <x v="3"/>
    </i>
    <i>
      <x v="21"/>
    </i>
    <i>
      <x v="50"/>
    </i>
    <i>
      <x v="25"/>
    </i>
    <i>
      <x v="88"/>
    </i>
    <i>
      <x v="39"/>
    </i>
    <i>
      <x v="24"/>
    </i>
    <i>
      <x v="22"/>
    </i>
    <i>
      <x v="54"/>
    </i>
    <i>
      <x v="34"/>
    </i>
    <i>
      <x v="30"/>
    </i>
    <i>
      <x v="69"/>
    </i>
    <i>
      <x v="4"/>
    </i>
    <i>
      <x v="64"/>
    </i>
    <i>
      <x v="77"/>
    </i>
    <i>
      <x v="5"/>
    </i>
    <i>
      <x v="59"/>
    </i>
    <i>
      <x v="29"/>
    </i>
    <i>
      <x v="68"/>
    </i>
    <i>
      <x v="92"/>
    </i>
    <i>
      <x v="46"/>
    </i>
    <i>
      <x v="49"/>
    </i>
    <i>
      <x v="11"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3" item="1" hier="-1"/>
  </pageFields>
  <dataFields count="4">
    <dataField name="Second Order Amount" fld="4" baseField="0" baseItem="0"/>
    <dataField name="First Order Amount" fld="5" baseField="0" baseItem="0"/>
    <dataField name="Order Amount Difference" fld="6" baseField="0" baseItem="0"/>
    <dataField name="%  Value Change" fld="8" baseField="0" baseItem="0" numFmtId="10"/>
  </dataFields>
  <formats count="3">
    <format dxfId="68">
      <pivotArea outline="0" collapsedLevelsAreSubtotals="1" fieldPosition="0"/>
    </format>
    <format dxfId="67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66">
      <pivotArea dataOnly="0" labelOnly="1" outline="0" fieldPosition="0">
        <references count="1">
          <reference field="4294967294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83268B-0035-4129-86B6-666D7B7F4D07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4" rowHeaderCaption="Customer">
  <location ref="L6:N26" firstHeaderRow="0" firstDataRow="1" firstDataCol="1"/>
  <pivotFields count="12">
    <pivotField axis="axisRow" showAll="0" measureFilter="1" sortType="ascending">
      <items count="99">
        <item x="0"/>
        <item x="1"/>
        <item x="2"/>
        <item x="3"/>
        <item x="4"/>
        <item x="5"/>
        <item x="6"/>
        <item x="8"/>
        <item x="9"/>
        <item x="7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50"/>
        <item x="51"/>
        <item x="52"/>
        <item x="49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266">
        <item x="205"/>
        <item x="39"/>
        <item x="260"/>
        <item x="34"/>
        <item x="96"/>
        <item x="71"/>
        <item x="219"/>
        <item x="161"/>
        <item x="66"/>
        <item x="198"/>
        <item x="31"/>
        <item x="262"/>
        <item x="196"/>
        <item x="183"/>
        <item x="155"/>
        <item x="51"/>
        <item x="222"/>
        <item x="89"/>
        <item x="94"/>
        <item x="226"/>
        <item x="15"/>
        <item x="215"/>
        <item x="168"/>
        <item x="9"/>
        <item x="16"/>
        <item x="63"/>
        <item x="200"/>
        <item x="97"/>
        <item x="238"/>
        <item x="23"/>
        <item x="84"/>
        <item x="98"/>
        <item x="165"/>
        <item x="184"/>
        <item x="0"/>
        <item x="148"/>
        <item x="216"/>
        <item x="235"/>
        <item x="241"/>
        <item x="239"/>
        <item x="185"/>
        <item x="181"/>
        <item x="223"/>
        <item x="255"/>
        <item x="132"/>
        <item x="58"/>
        <item x="5"/>
        <item x="232"/>
        <item x="90"/>
        <item x="209"/>
        <item x="20"/>
        <item x="99"/>
        <item x="42"/>
        <item x="40"/>
        <item x="203"/>
        <item x="252"/>
        <item x="100"/>
        <item x="124"/>
        <item x="35"/>
        <item x="172"/>
        <item x="143"/>
        <item x="60"/>
        <item x="52"/>
        <item x="126"/>
        <item x="91"/>
        <item x="231"/>
        <item x="242"/>
        <item x="6"/>
        <item x="129"/>
        <item x="21"/>
        <item x="44"/>
        <item x="1"/>
        <item x="69"/>
        <item x="144"/>
        <item x="50"/>
        <item x="82"/>
        <item x="151"/>
        <item x="145"/>
        <item x="101"/>
        <item x="206"/>
        <item x="12"/>
        <item x="180"/>
        <item x="95"/>
        <item x="67"/>
        <item x="152"/>
        <item x="102"/>
        <item x="103"/>
        <item x="48"/>
        <item x="80"/>
        <item x="229"/>
        <item x="173"/>
        <item x="208"/>
        <item x="28"/>
        <item x="104"/>
        <item x="83"/>
        <item x="64"/>
        <item x="264"/>
        <item x="26"/>
        <item x="139"/>
        <item x="125"/>
        <item x="233"/>
        <item x="54"/>
        <item x="212"/>
        <item x="56"/>
        <item x="17"/>
        <item x="70"/>
        <item x="258"/>
        <item x="57"/>
        <item x="230"/>
        <item x="46"/>
        <item x="186"/>
        <item x="41"/>
        <item x="45"/>
        <item x="136"/>
        <item x="244"/>
        <item x="121"/>
        <item x="221"/>
        <item x="199"/>
        <item x="261"/>
        <item x="72"/>
        <item x="210"/>
        <item x="177"/>
        <item x="174"/>
        <item x="81"/>
        <item x="105"/>
        <item x="240"/>
        <item x="106"/>
        <item x="162"/>
        <item x="47"/>
        <item x="247"/>
        <item x="245"/>
        <item x="29"/>
        <item x="257"/>
        <item x="85"/>
        <item x="178"/>
        <item x="73"/>
        <item x="248"/>
        <item x="140"/>
        <item x="137"/>
        <item x="213"/>
        <item x="107"/>
        <item x="130"/>
        <item x="133"/>
        <item x="13"/>
        <item x="153"/>
        <item x="201"/>
        <item x="122"/>
        <item x="227"/>
        <item x="236"/>
        <item x="76"/>
        <item x="59"/>
        <item x="158"/>
        <item x="207"/>
        <item x="92"/>
        <item x="234"/>
        <item x="108"/>
        <item x="3"/>
        <item x="77"/>
        <item x="187"/>
        <item x="204"/>
        <item x="170"/>
        <item x="156"/>
        <item x="259"/>
        <item x="141"/>
        <item x="146"/>
        <item x="24"/>
        <item x="163"/>
        <item x="4"/>
        <item x="134"/>
        <item x="38"/>
        <item x="55"/>
        <item x="10"/>
        <item x="253"/>
        <item x="147"/>
        <item x="27"/>
        <item x="171"/>
        <item x="32"/>
        <item x="36"/>
        <item x="109"/>
        <item x="188"/>
        <item x="49"/>
        <item x="159"/>
        <item x="65"/>
        <item x="78"/>
        <item x="175"/>
        <item x="127"/>
        <item x="37"/>
        <item x="263"/>
        <item x="74"/>
        <item x="220"/>
        <item x="164"/>
        <item x="68"/>
        <item x="33"/>
        <item x="197"/>
        <item x="189"/>
        <item x="157"/>
        <item x="53"/>
        <item x="224"/>
        <item x="250"/>
        <item x="18"/>
        <item x="11"/>
        <item x="19"/>
        <item x="202"/>
        <item x="110"/>
        <item x="25"/>
        <item x="86"/>
        <item x="111"/>
        <item x="166"/>
        <item x="112"/>
        <item x="217"/>
        <item x="149"/>
        <item x="237"/>
        <item x="243"/>
        <item x="169"/>
        <item x="182"/>
        <item x="225"/>
        <item x="256"/>
        <item x="190"/>
        <item x="7"/>
        <item x="191"/>
        <item x="251"/>
        <item x="211"/>
        <item x="22"/>
        <item x="160"/>
        <item x="43"/>
        <item x="254"/>
        <item x="113"/>
        <item x="114"/>
        <item x="61"/>
        <item x="115"/>
        <item x="62"/>
        <item x="192"/>
        <item x="116"/>
        <item x="93"/>
        <item x="128"/>
        <item x="193"/>
        <item x="8"/>
        <item x="176"/>
        <item x="87"/>
        <item x="117"/>
        <item x="167"/>
        <item x="194"/>
        <item x="2"/>
        <item x="218"/>
        <item x="150"/>
        <item x="246"/>
        <item x="30"/>
        <item x="88"/>
        <item x="179"/>
        <item x="75"/>
        <item x="249"/>
        <item x="142"/>
        <item x="138"/>
        <item x="214"/>
        <item x="118"/>
        <item x="131"/>
        <item x="135"/>
        <item x="14"/>
        <item x="154"/>
        <item x="119"/>
        <item x="123"/>
        <item x="228"/>
        <item x="195"/>
        <item x="79"/>
        <item x="120"/>
        <item t="default"/>
      </items>
    </pivotField>
    <pivotField dataField="1" showAll="0"/>
    <pivotField dataField="1" showAll="0"/>
    <pivotField showAll="0"/>
    <pivotField showAll="0"/>
    <pivotField showAll="0"/>
    <pivotField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0"/>
  </rowFields>
  <rowItems count="20">
    <i>
      <x v="52"/>
    </i>
    <i>
      <x v="73"/>
    </i>
    <i>
      <x v="74"/>
    </i>
    <i>
      <x v="27"/>
    </i>
    <i>
      <x v="78"/>
    </i>
    <i>
      <x v="23"/>
    </i>
    <i>
      <x v="82"/>
    </i>
    <i>
      <x v="2"/>
    </i>
    <i>
      <x v="47"/>
    </i>
    <i>
      <x v="77"/>
    </i>
    <i>
      <x v="88"/>
    </i>
    <i>
      <x v="10"/>
    </i>
    <i>
      <x v="51"/>
    </i>
    <i>
      <x v="31"/>
    </i>
    <i>
      <x v="32"/>
    </i>
    <i>
      <x v="50"/>
    </i>
    <i>
      <x v="65"/>
    </i>
    <i>
      <x v="5"/>
    </i>
    <i>
      <x v="62"/>
    </i>
    <i>
      <x v="34"/>
    </i>
  </rowItems>
  <colFields count="1">
    <field x="-2"/>
  </colFields>
  <colItems count="2">
    <i>
      <x/>
    </i>
    <i i="1">
      <x v="1"/>
    </i>
  </colItems>
  <dataFields count="2">
    <dataField name="Lifetime Order Amount" fld="4" baseField="0" baseItem="0" numFmtId="44"/>
    <dataField name="Count of order_rank" fld="3" subtotal="count" baseField="0" baseItem="23"/>
  </dataFields>
  <formats count="2">
    <format dxfId="4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3">
    <chartFormat chart="4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8" iMeasureFld="0">
      <autoFilter ref="A1">
        <filterColumn colId="0">
          <top10 val="20" filterVal="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58C09D-6C65-446A-B763-F7AD0C9BE356}" name="PivotTable6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4" rowHeaderCaption="Customer">
  <location ref="I8:J28" firstHeaderRow="1" firstDataRow="1" firstDataCol="1" rowPageCount="1" colPageCount="1"/>
  <pivotFields count="12">
    <pivotField axis="axisRow" showAll="0" measureFilter="1" sortType="descending">
      <items count="99">
        <item x="0"/>
        <item x="1"/>
        <item x="2"/>
        <item x="3"/>
        <item x="4"/>
        <item x="5"/>
        <item x="6"/>
        <item x="8"/>
        <item x="9"/>
        <item x="7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50"/>
        <item x="51"/>
        <item x="52"/>
        <item x="49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266">
        <item x="205"/>
        <item x="39"/>
        <item x="260"/>
        <item x="34"/>
        <item x="96"/>
        <item x="71"/>
        <item x="219"/>
        <item x="161"/>
        <item x="66"/>
        <item x="198"/>
        <item x="31"/>
        <item x="262"/>
        <item x="196"/>
        <item x="183"/>
        <item x="155"/>
        <item x="51"/>
        <item x="222"/>
        <item x="89"/>
        <item x="94"/>
        <item x="226"/>
        <item x="15"/>
        <item x="215"/>
        <item x="168"/>
        <item x="9"/>
        <item x="16"/>
        <item x="63"/>
        <item x="200"/>
        <item x="97"/>
        <item x="238"/>
        <item x="23"/>
        <item x="84"/>
        <item x="98"/>
        <item x="165"/>
        <item x="184"/>
        <item x="0"/>
        <item x="148"/>
        <item x="216"/>
        <item x="235"/>
        <item x="241"/>
        <item x="239"/>
        <item x="185"/>
        <item x="181"/>
        <item x="223"/>
        <item x="255"/>
        <item x="132"/>
        <item x="58"/>
        <item x="5"/>
        <item x="232"/>
        <item x="90"/>
        <item x="209"/>
        <item x="20"/>
        <item x="99"/>
        <item x="42"/>
        <item x="40"/>
        <item x="203"/>
        <item x="252"/>
        <item x="100"/>
        <item x="124"/>
        <item x="35"/>
        <item x="172"/>
        <item x="143"/>
        <item x="60"/>
        <item x="52"/>
        <item x="126"/>
        <item x="91"/>
        <item x="231"/>
        <item x="242"/>
        <item x="6"/>
        <item x="129"/>
        <item x="21"/>
        <item x="44"/>
        <item x="1"/>
        <item x="69"/>
        <item x="144"/>
        <item x="50"/>
        <item x="82"/>
        <item x="151"/>
        <item x="145"/>
        <item x="101"/>
        <item x="206"/>
        <item x="12"/>
        <item x="180"/>
        <item x="95"/>
        <item x="67"/>
        <item x="152"/>
        <item x="102"/>
        <item x="103"/>
        <item x="48"/>
        <item x="80"/>
        <item x="229"/>
        <item x="173"/>
        <item x="208"/>
        <item x="28"/>
        <item x="104"/>
        <item x="83"/>
        <item x="64"/>
        <item x="264"/>
        <item x="26"/>
        <item x="139"/>
        <item x="125"/>
        <item x="233"/>
        <item x="54"/>
        <item x="212"/>
        <item x="56"/>
        <item x="17"/>
        <item x="70"/>
        <item x="258"/>
        <item x="57"/>
        <item x="230"/>
        <item x="46"/>
        <item x="186"/>
        <item x="41"/>
        <item x="45"/>
        <item x="136"/>
        <item x="244"/>
        <item x="121"/>
        <item x="221"/>
        <item x="199"/>
        <item x="261"/>
        <item x="72"/>
        <item x="210"/>
        <item x="177"/>
        <item x="174"/>
        <item x="81"/>
        <item x="105"/>
        <item x="240"/>
        <item x="106"/>
        <item x="162"/>
        <item x="47"/>
        <item x="247"/>
        <item x="245"/>
        <item x="29"/>
        <item x="257"/>
        <item x="85"/>
        <item x="178"/>
        <item x="73"/>
        <item x="248"/>
        <item x="140"/>
        <item x="137"/>
        <item x="213"/>
        <item x="107"/>
        <item x="130"/>
        <item x="133"/>
        <item x="13"/>
        <item x="153"/>
        <item x="201"/>
        <item x="122"/>
        <item x="227"/>
        <item x="236"/>
        <item x="76"/>
        <item x="59"/>
        <item x="158"/>
        <item x="207"/>
        <item x="92"/>
        <item x="234"/>
        <item x="108"/>
        <item x="3"/>
        <item x="77"/>
        <item x="187"/>
        <item x="204"/>
        <item x="170"/>
        <item x="156"/>
        <item x="259"/>
        <item x="141"/>
        <item x="146"/>
        <item x="24"/>
        <item x="163"/>
        <item x="4"/>
        <item x="134"/>
        <item x="38"/>
        <item x="55"/>
        <item x="10"/>
        <item x="253"/>
        <item x="147"/>
        <item x="27"/>
        <item x="171"/>
        <item x="32"/>
        <item x="36"/>
        <item x="109"/>
        <item x="188"/>
        <item x="49"/>
        <item x="159"/>
        <item x="65"/>
        <item x="78"/>
        <item x="175"/>
        <item x="127"/>
        <item x="37"/>
        <item x="263"/>
        <item x="74"/>
        <item x="220"/>
        <item x="164"/>
        <item x="68"/>
        <item x="33"/>
        <item x="197"/>
        <item x="189"/>
        <item x="157"/>
        <item x="53"/>
        <item x="224"/>
        <item x="250"/>
        <item x="18"/>
        <item x="11"/>
        <item x="19"/>
        <item x="202"/>
        <item x="110"/>
        <item x="25"/>
        <item x="86"/>
        <item x="111"/>
        <item x="166"/>
        <item x="112"/>
        <item x="217"/>
        <item x="149"/>
        <item x="237"/>
        <item x="243"/>
        <item x="169"/>
        <item x="182"/>
        <item x="225"/>
        <item x="256"/>
        <item x="190"/>
        <item x="7"/>
        <item x="191"/>
        <item x="251"/>
        <item x="211"/>
        <item x="22"/>
        <item x="160"/>
        <item x="43"/>
        <item x="254"/>
        <item x="113"/>
        <item x="114"/>
        <item x="61"/>
        <item x="115"/>
        <item x="62"/>
        <item x="192"/>
        <item x="116"/>
        <item x="93"/>
        <item x="128"/>
        <item x="193"/>
        <item x="8"/>
        <item x="176"/>
        <item x="87"/>
        <item x="117"/>
        <item x="167"/>
        <item x="194"/>
        <item x="2"/>
        <item x="218"/>
        <item x="150"/>
        <item x="246"/>
        <item x="30"/>
        <item x="88"/>
        <item x="179"/>
        <item x="75"/>
        <item x="249"/>
        <item x="142"/>
        <item x="138"/>
        <item x="214"/>
        <item x="118"/>
        <item x="131"/>
        <item x="135"/>
        <item x="14"/>
        <item x="154"/>
        <item x="119"/>
        <item x="123"/>
        <item x="228"/>
        <item x="195"/>
        <item x="79"/>
        <item x="120"/>
        <item t="default"/>
      </items>
    </pivotField>
    <pivotField axis="axisPage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/>
    <pivotField showAll="0">
      <items count="230">
        <item x="0"/>
        <item x="184"/>
        <item x="25"/>
        <item x="183"/>
        <item x="134"/>
        <item x="121"/>
        <item x="206"/>
        <item x="65"/>
        <item x="58"/>
        <item x="66"/>
        <item x="219"/>
        <item x="30"/>
        <item x="155"/>
        <item x="72"/>
        <item x="138"/>
        <item x="51"/>
        <item x="223"/>
        <item x="19"/>
        <item x="18"/>
        <item x="161"/>
        <item x="17"/>
        <item x="8"/>
        <item x="187"/>
        <item x="150"/>
        <item x="101"/>
        <item x="207"/>
        <item x="12"/>
        <item x="225"/>
        <item x="228"/>
        <item x="10"/>
        <item x="15"/>
        <item x="96"/>
        <item x="166"/>
        <item x="27"/>
        <item x="73"/>
        <item x="142"/>
        <item x="185"/>
        <item x="40"/>
        <item x="75"/>
        <item x="152"/>
        <item x="69"/>
        <item x="177"/>
        <item x="1"/>
        <item x="7"/>
        <item x="103"/>
        <item x="136"/>
        <item x="171"/>
        <item x="158"/>
        <item x="85"/>
        <item x="176"/>
        <item x="210"/>
        <item x="226"/>
        <item x="172"/>
        <item x="174"/>
        <item x="100"/>
        <item x="178"/>
        <item x="95"/>
        <item x="26"/>
        <item x="90"/>
        <item x="102"/>
        <item x="131"/>
        <item x="227"/>
        <item x="123"/>
        <item x="80"/>
        <item x="105"/>
        <item x="164"/>
        <item x="32"/>
        <item x="133"/>
        <item x="52"/>
        <item x="47"/>
        <item x="35"/>
        <item x="212"/>
        <item x="36"/>
        <item x="45"/>
        <item x="57"/>
        <item x="125"/>
        <item x="70"/>
        <item x="107"/>
        <item x="224"/>
        <item x="115"/>
        <item x="175"/>
        <item x="128"/>
        <item x="53"/>
        <item x="220"/>
        <item x="159"/>
        <item x="16"/>
        <item x="196"/>
        <item x="28"/>
        <item x="98"/>
        <item x="104"/>
        <item x="21"/>
        <item x="83"/>
        <item x="160"/>
        <item x="77"/>
        <item x="129"/>
        <item x="6"/>
        <item x="135"/>
        <item x="157"/>
        <item x="215"/>
        <item x="50"/>
        <item x="117"/>
        <item x="202"/>
        <item x="92"/>
        <item x="182"/>
        <item x="199"/>
        <item x="201"/>
        <item x="112"/>
        <item x="193"/>
        <item x="42"/>
        <item x="208"/>
        <item x="31"/>
        <item x="93"/>
        <item x="211"/>
        <item x="198"/>
        <item x="114"/>
        <item x="86"/>
        <item x="37"/>
        <item x="179"/>
        <item x="43"/>
        <item x="194"/>
        <item x="39"/>
        <item x="170"/>
        <item x="195"/>
        <item x="120"/>
        <item x="61"/>
        <item x="2"/>
        <item x="29"/>
        <item x="214"/>
        <item x="217"/>
        <item x="87"/>
        <item x="34"/>
        <item x="94"/>
        <item x="153"/>
        <item x="55"/>
        <item x="127"/>
        <item x="78"/>
        <item x="9"/>
        <item x="197"/>
        <item x="186"/>
        <item x="137"/>
        <item x="139"/>
        <item x="81"/>
        <item x="110"/>
        <item x="33"/>
        <item x="165"/>
        <item x="88"/>
        <item x="59"/>
        <item x="147"/>
        <item x="200"/>
        <item x="216"/>
        <item x="181"/>
        <item x="106"/>
        <item x="203"/>
        <item x="63"/>
        <item x="118"/>
        <item x="5"/>
        <item x="204"/>
        <item x="109"/>
        <item x="60"/>
        <item x="54"/>
        <item x="189"/>
        <item x="74"/>
        <item x="68"/>
        <item x="14"/>
        <item x="67"/>
        <item x="151"/>
        <item x="140"/>
        <item x="126"/>
        <item x="4"/>
        <item x="99"/>
        <item x="48"/>
        <item x="209"/>
        <item x="188"/>
        <item x="132"/>
        <item x="146"/>
        <item x="108"/>
        <item x="191"/>
        <item x="84"/>
        <item x="62"/>
        <item x="13"/>
        <item x="71"/>
        <item x="145"/>
        <item x="173"/>
        <item x="221"/>
        <item x="11"/>
        <item x="82"/>
        <item x="91"/>
        <item x="89"/>
        <item x="79"/>
        <item x="169"/>
        <item x="222"/>
        <item x="113"/>
        <item x="154"/>
        <item x="122"/>
        <item x="148"/>
        <item x="3"/>
        <item x="97"/>
        <item x="22"/>
        <item x="192"/>
        <item x="213"/>
        <item x="20"/>
        <item x="124"/>
        <item x="190"/>
        <item x="24"/>
        <item x="218"/>
        <item x="205"/>
        <item x="130"/>
        <item x="46"/>
        <item x="168"/>
        <item x="119"/>
        <item x="180"/>
        <item x="116"/>
        <item x="141"/>
        <item x="23"/>
        <item x="49"/>
        <item x="41"/>
        <item x="111"/>
        <item x="167"/>
        <item x="143"/>
        <item x="149"/>
        <item x="156"/>
        <item x="144"/>
        <item x="38"/>
        <item x="44"/>
        <item x="163"/>
        <item x="162"/>
        <item x="56"/>
        <item x="76"/>
        <item x="64"/>
        <item t="default"/>
      </items>
    </pivotField>
    <pivotField dataField="1" showAll="0">
      <items count="230">
        <item x="64"/>
        <item x="56"/>
        <item x="149"/>
        <item x="24"/>
        <item x="205"/>
        <item x="168"/>
        <item x="218"/>
        <item x="141"/>
        <item x="113"/>
        <item x="154"/>
        <item x="71"/>
        <item x="163"/>
        <item x="11"/>
        <item x="173"/>
        <item x="109"/>
        <item x="44"/>
        <item x="76"/>
        <item x="214"/>
        <item x="38"/>
        <item x="169"/>
        <item x="130"/>
        <item x="137"/>
        <item x="120"/>
        <item x="46"/>
        <item x="186"/>
        <item x="55"/>
        <item x="89"/>
        <item x="122"/>
        <item x="156"/>
        <item x="84"/>
        <item x="79"/>
        <item x="74"/>
        <item x="151"/>
        <item x="29"/>
        <item x="68"/>
        <item x="9"/>
        <item x="209"/>
        <item x="49"/>
        <item x="111"/>
        <item x="20"/>
        <item x="41"/>
        <item x="48"/>
        <item x="200"/>
        <item x="50"/>
        <item x="116"/>
        <item x="2"/>
        <item x="82"/>
        <item x="192"/>
        <item x="39"/>
        <item x="157"/>
        <item x="160"/>
        <item x="195"/>
        <item x="43"/>
        <item x="91"/>
        <item x="97"/>
        <item x="193"/>
        <item x="112"/>
        <item x="131"/>
        <item x="170"/>
        <item x="119"/>
        <item x="31"/>
        <item x="67"/>
        <item x="37"/>
        <item x="57"/>
        <item x="213"/>
        <item x="180"/>
        <item x="3"/>
        <item x="99"/>
        <item x="21"/>
        <item x="135"/>
        <item x="5"/>
        <item x="94"/>
        <item x="34"/>
        <item x="117"/>
        <item x="144"/>
        <item x="217"/>
        <item x="100"/>
        <item x="95"/>
        <item x="114"/>
        <item x="190"/>
        <item x="32"/>
        <item x="7"/>
        <item x="129"/>
        <item x="221"/>
        <item x="124"/>
        <item x="136"/>
        <item x="126"/>
        <item x="62"/>
        <item x="146"/>
        <item x="203"/>
        <item x="60"/>
        <item x="23"/>
        <item x="108"/>
        <item x="47"/>
        <item x="13"/>
        <item x="167"/>
        <item x="165"/>
        <item x="54"/>
        <item x="8"/>
        <item x="197"/>
        <item x="102"/>
        <item x="216"/>
        <item x="4"/>
        <item x="33"/>
        <item x="176"/>
        <item x="16"/>
        <item x="145"/>
        <item x="106"/>
        <item x="201"/>
        <item x="30"/>
        <item x="183"/>
        <item x="17"/>
        <item x="181"/>
        <item x="162"/>
        <item x="0"/>
        <item x="35"/>
        <item x="143"/>
        <item x="133"/>
        <item x="194"/>
        <item x="92"/>
        <item x="65"/>
        <item x="52"/>
        <item x="10"/>
        <item x="14"/>
        <item x="42"/>
        <item x="86"/>
        <item x="59"/>
        <item x="185"/>
        <item x="159"/>
        <item x="226"/>
        <item x="87"/>
        <item x="6"/>
        <item x="128"/>
        <item x="177"/>
        <item x="93"/>
        <item x="36"/>
        <item x="18"/>
        <item x="227"/>
        <item x="132"/>
        <item x="22"/>
        <item x="191"/>
        <item x="175"/>
        <item x="174"/>
        <item x="72"/>
        <item x="139"/>
        <item x="158"/>
        <item x="148"/>
        <item x="61"/>
        <item x="199"/>
        <item x="182"/>
        <item x="69"/>
        <item x="225"/>
        <item x="77"/>
        <item x="188"/>
        <item x="28"/>
        <item x="189"/>
        <item x="88"/>
        <item x="206"/>
        <item x="81"/>
        <item x="198"/>
        <item x="147"/>
        <item x="184"/>
        <item x="45"/>
        <item x="140"/>
        <item x="78"/>
        <item x="196"/>
        <item x="204"/>
        <item x="208"/>
        <item x="153"/>
        <item x="118"/>
        <item x="27"/>
        <item x="222"/>
        <item x="179"/>
        <item x="15"/>
        <item x="127"/>
        <item x="210"/>
        <item x="178"/>
        <item x="85"/>
        <item x="40"/>
        <item x="51"/>
        <item x="53"/>
        <item x="80"/>
        <item x="25"/>
        <item x="26"/>
        <item x="223"/>
        <item x="98"/>
        <item x="202"/>
        <item x="105"/>
        <item x="110"/>
        <item x="83"/>
        <item x="125"/>
        <item x="1"/>
        <item x="164"/>
        <item x="101"/>
        <item x="211"/>
        <item x="152"/>
        <item x="220"/>
        <item x="107"/>
        <item x="104"/>
        <item x="224"/>
        <item x="70"/>
        <item x="207"/>
        <item x="134"/>
        <item x="212"/>
        <item x="228"/>
        <item x="172"/>
        <item x="90"/>
        <item x="63"/>
        <item x="115"/>
        <item x="73"/>
        <item x="123"/>
        <item x="138"/>
        <item x="171"/>
        <item x="215"/>
        <item x="150"/>
        <item x="58"/>
        <item x="219"/>
        <item x="103"/>
        <item x="187"/>
        <item x="12"/>
        <item x="66"/>
        <item x="96"/>
        <item x="161"/>
        <item x="142"/>
        <item x="166"/>
        <item x="75"/>
        <item x="19"/>
        <item x="121"/>
        <item x="155"/>
        <item t="default"/>
      </items>
    </pivotField>
    <pivotField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0"/>
  </rowFields>
  <rowItems count="20">
    <i>
      <x v="7"/>
    </i>
    <i>
      <x v="67"/>
    </i>
    <i>
      <x v="62"/>
    </i>
    <i>
      <x v="37"/>
    </i>
    <i>
      <x v="33"/>
    </i>
    <i>
      <x v="31"/>
    </i>
    <i>
      <x v="90"/>
    </i>
    <i>
      <x v="71"/>
    </i>
    <i>
      <x v="97"/>
    </i>
    <i>
      <x v="89"/>
    </i>
    <i>
      <x v="57"/>
    </i>
    <i>
      <x v="87"/>
    </i>
    <i>
      <x v="41"/>
    </i>
    <i>
      <x v="43"/>
    </i>
    <i>
      <x v="93"/>
    </i>
    <i>
      <x/>
    </i>
    <i>
      <x v="51"/>
    </i>
    <i>
      <x v="44"/>
    </i>
    <i>
      <x v="42"/>
    </i>
    <i>
      <x v="38"/>
    </i>
  </rowItems>
  <colItems count="1">
    <i/>
  </colItems>
  <pageFields count="1">
    <pageField fld="3" item="1" hier="-1"/>
  </pageFields>
  <dataFields count="1">
    <dataField name="Second Order Amount Change (vs First Order)" fld="6" baseField="0" baseItem="0"/>
  </dataFields>
  <formats count="1">
    <format dxfId="51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20" filterVal="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C28C22-57F8-4F5C-ABA5-FE63E9B48B68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8" rowHeaderCaption="Customer">
  <location ref="F8:G28" firstHeaderRow="1" firstDataRow="1" firstDataCol="1" rowPageCount="1" colPageCount="1"/>
  <pivotFields count="12">
    <pivotField axis="axisRow" showAll="0" measureFilter="1" sortType="descending">
      <items count="99">
        <item x="0"/>
        <item x="1"/>
        <item x="2"/>
        <item x="3"/>
        <item x="4"/>
        <item x="5"/>
        <item x="6"/>
        <item x="8"/>
        <item x="9"/>
        <item x="7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50"/>
        <item x="51"/>
        <item x="52"/>
        <item x="49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266">
        <item x="205"/>
        <item x="39"/>
        <item x="260"/>
        <item x="34"/>
        <item x="96"/>
        <item x="71"/>
        <item x="219"/>
        <item x="161"/>
        <item x="66"/>
        <item x="198"/>
        <item x="31"/>
        <item x="262"/>
        <item x="196"/>
        <item x="183"/>
        <item x="155"/>
        <item x="51"/>
        <item x="222"/>
        <item x="89"/>
        <item x="94"/>
        <item x="226"/>
        <item x="15"/>
        <item x="215"/>
        <item x="168"/>
        <item x="9"/>
        <item x="16"/>
        <item x="63"/>
        <item x="200"/>
        <item x="97"/>
        <item x="238"/>
        <item x="23"/>
        <item x="84"/>
        <item x="98"/>
        <item x="165"/>
        <item x="184"/>
        <item x="0"/>
        <item x="148"/>
        <item x="216"/>
        <item x="235"/>
        <item x="241"/>
        <item x="239"/>
        <item x="185"/>
        <item x="181"/>
        <item x="223"/>
        <item x="255"/>
        <item x="132"/>
        <item x="58"/>
        <item x="5"/>
        <item x="232"/>
        <item x="90"/>
        <item x="209"/>
        <item x="20"/>
        <item x="99"/>
        <item x="42"/>
        <item x="40"/>
        <item x="203"/>
        <item x="252"/>
        <item x="100"/>
        <item x="124"/>
        <item x="35"/>
        <item x="172"/>
        <item x="143"/>
        <item x="60"/>
        <item x="52"/>
        <item x="126"/>
        <item x="91"/>
        <item x="231"/>
        <item x="242"/>
        <item x="6"/>
        <item x="129"/>
        <item x="21"/>
        <item x="44"/>
        <item x="1"/>
        <item x="69"/>
        <item x="144"/>
        <item x="50"/>
        <item x="82"/>
        <item x="151"/>
        <item x="145"/>
        <item x="101"/>
        <item x="206"/>
        <item x="12"/>
        <item x="180"/>
        <item x="95"/>
        <item x="67"/>
        <item x="152"/>
        <item x="102"/>
        <item x="103"/>
        <item x="48"/>
        <item x="80"/>
        <item x="229"/>
        <item x="173"/>
        <item x="208"/>
        <item x="28"/>
        <item x="104"/>
        <item x="83"/>
        <item x="64"/>
        <item x="264"/>
        <item x="26"/>
        <item x="139"/>
        <item x="125"/>
        <item x="233"/>
        <item x="54"/>
        <item x="212"/>
        <item x="56"/>
        <item x="17"/>
        <item x="70"/>
        <item x="258"/>
        <item x="57"/>
        <item x="230"/>
        <item x="46"/>
        <item x="186"/>
        <item x="41"/>
        <item x="45"/>
        <item x="136"/>
        <item x="244"/>
        <item x="121"/>
        <item x="221"/>
        <item x="199"/>
        <item x="261"/>
        <item x="72"/>
        <item x="210"/>
        <item x="177"/>
        <item x="174"/>
        <item x="81"/>
        <item x="105"/>
        <item x="240"/>
        <item x="106"/>
        <item x="162"/>
        <item x="47"/>
        <item x="247"/>
        <item x="245"/>
        <item x="29"/>
        <item x="257"/>
        <item x="85"/>
        <item x="178"/>
        <item x="73"/>
        <item x="248"/>
        <item x="140"/>
        <item x="137"/>
        <item x="213"/>
        <item x="107"/>
        <item x="130"/>
        <item x="133"/>
        <item x="13"/>
        <item x="153"/>
        <item x="201"/>
        <item x="122"/>
        <item x="227"/>
        <item x="236"/>
        <item x="76"/>
        <item x="59"/>
        <item x="158"/>
        <item x="207"/>
        <item x="92"/>
        <item x="234"/>
        <item x="108"/>
        <item x="3"/>
        <item x="77"/>
        <item x="187"/>
        <item x="204"/>
        <item x="170"/>
        <item x="156"/>
        <item x="259"/>
        <item x="141"/>
        <item x="146"/>
        <item x="24"/>
        <item x="163"/>
        <item x="4"/>
        <item x="134"/>
        <item x="38"/>
        <item x="55"/>
        <item x="10"/>
        <item x="253"/>
        <item x="147"/>
        <item x="27"/>
        <item x="171"/>
        <item x="32"/>
        <item x="36"/>
        <item x="109"/>
        <item x="188"/>
        <item x="49"/>
        <item x="159"/>
        <item x="65"/>
        <item x="78"/>
        <item x="175"/>
        <item x="127"/>
        <item x="37"/>
        <item x="263"/>
        <item x="74"/>
        <item x="220"/>
        <item x="164"/>
        <item x="68"/>
        <item x="33"/>
        <item x="197"/>
        <item x="189"/>
        <item x="157"/>
        <item x="53"/>
        <item x="224"/>
        <item x="250"/>
        <item x="18"/>
        <item x="11"/>
        <item x="19"/>
        <item x="202"/>
        <item x="110"/>
        <item x="25"/>
        <item x="86"/>
        <item x="111"/>
        <item x="166"/>
        <item x="112"/>
        <item x="217"/>
        <item x="149"/>
        <item x="237"/>
        <item x="243"/>
        <item x="169"/>
        <item x="182"/>
        <item x="225"/>
        <item x="256"/>
        <item x="190"/>
        <item x="7"/>
        <item x="191"/>
        <item x="251"/>
        <item x="211"/>
        <item x="22"/>
        <item x="160"/>
        <item x="43"/>
        <item x="254"/>
        <item x="113"/>
        <item x="114"/>
        <item x="61"/>
        <item x="115"/>
        <item x="62"/>
        <item x="192"/>
        <item x="116"/>
        <item x="93"/>
        <item x="128"/>
        <item x="193"/>
        <item x="8"/>
        <item x="176"/>
        <item x="87"/>
        <item x="117"/>
        <item x="167"/>
        <item x="194"/>
        <item x="2"/>
        <item x="218"/>
        <item x="150"/>
        <item x="246"/>
        <item x="30"/>
        <item x="88"/>
        <item x="179"/>
        <item x="75"/>
        <item x="249"/>
        <item x="142"/>
        <item x="138"/>
        <item x="214"/>
        <item x="118"/>
        <item x="131"/>
        <item x="135"/>
        <item x="14"/>
        <item x="154"/>
        <item x="119"/>
        <item x="123"/>
        <item x="228"/>
        <item x="195"/>
        <item x="79"/>
        <item x="120"/>
        <item t="default"/>
      </items>
    </pivotField>
    <pivotField axis="axisPage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/>
    <pivotField showAll="0">
      <items count="230">
        <item x="0"/>
        <item x="184"/>
        <item x="25"/>
        <item x="183"/>
        <item x="134"/>
        <item x="121"/>
        <item x="206"/>
        <item x="65"/>
        <item x="58"/>
        <item x="66"/>
        <item x="219"/>
        <item x="30"/>
        <item x="155"/>
        <item x="72"/>
        <item x="138"/>
        <item x="51"/>
        <item x="223"/>
        <item x="19"/>
        <item x="18"/>
        <item x="161"/>
        <item x="17"/>
        <item x="8"/>
        <item x="187"/>
        <item x="150"/>
        <item x="101"/>
        <item x="207"/>
        <item x="12"/>
        <item x="225"/>
        <item x="228"/>
        <item x="10"/>
        <item x="15"/>
        <item x="96"/>
        <item x="166"/>
        <item x="27"/>
        <item x="73"/>
        <item x="142"/>
        <item x="185"/>
        <item x="40"/>
        <item x="75"/>
        <item x="152"/>
        <item x="69"/>
        <item x="177"/>
        <item x="1"/>
        <item x="7"/>
        <item x="103"/>
        <item x="136"/>
        <item x="171"/>
        <item x="158"/>
        <item x="85"/>
        <item x="176"/>
        <item x="210"/>
        <item x="226"/>
        <item x="172"/>
        <item x="174"/>
        <item x="100"/>
        <item x="178"/>
        <item x="95"/>
        <item x="26"/>
        <item x="90"/>
        <item x="102"/>
        <item x="131"/>
        <item x="227"/>
        <item x="123"/>
        <item x="80"/>
        <item x="105"/>
        <item x="164"/>
        <item x="32"/>
        <item x="133"/>
        <item x="52"/>
        <item x="47"/>
        <item x="35"/>
        <item x="212"/>
        <item x="36"/>
        <item x="45"/>
        <item x="57"/>
        <item x="125"/>
        <item x="70"/>
        <item x="107"/>
        <item x="224"/>
        <item x="115"/>
        <item x="175"/>
        <item x="128"/>
        <item x="53"/>
        <item x="220"/>
        <item x="159"/>
        <item x="16"/>
        <item x="196"/>
        <item x="28"/>
        <item x="98"/>
        <item x="104"/>
        <item x="21"/>
        <item x="83"/>
        <item x="160"/>
        <item x="77"/>
        <item x="129"/>
        <item x="6"/>
        <item x="135"/>
        <item x="157"/>
        <item x="215"/>
        <item x="50"/>
        <item x="117"/>
        <item x="202"/>
        <item x="92"/>
        <item x="182"/>
        <item x="199"/>
        <item x="201"/>
        <item x="112"/>
        <item x="193"/>
        <item x="42"/>
        <item x="208"/>
        <item x="31"/>
        <item x="93"/>
        <item x="211"/>
        <item x="198"/>
        <item x="114"/>
        <item x="86"/>
        <item x="37"/>
        <item x="179"/>
        <item x="43"/>
        <item x="194"/>
        <item x="39"/>
        <item x="170"/>
        <item x="195"/>
        <item x="120"/>
        <item x="61"/>
        <item x="2"/>
        <item x="29"/>
        <item x="214"/>
        <item x="217"/>
        <item x="87"/>
        <item x="34"/>
        <item x="94"/>
        <item x="153"/>
        <item x="55"/>
        <item x="127"/>
        <item x="78"/>
        <item x="9"/>
        <item x="197"/>
        <item x="186"/>
        <item x="137"/>
        <item x="139"/>
        <item x="81"/>
        <item x="110"/>
        <item x="33"/>
        <item x="165"/>
        <item x="88"/>
        <item x="59"/>
        <item x="147"/>
        <item x="200"/>
        <item x="216"/>
        <item x="181"/>
        <item x="106"/>
        <item x="203"/>
        <item x="63"/>
        <item x="118"/>
        <item x="5"/>
        <item x="204"/>
        <item x="109"/>
        <item x="60"/>
        <item x="54"/>
        <item x="189"/>
        <item x="74"/>
        <item x="68"/>
        <item x="14"/>
        <item x="67"/>
        <item x="151"/>
        <item x="140"/>
        <item x="126"/>
        <item x="4"/>
        <item x="99"/>
        <item x="48"/>
        <item x="209"/>
        <item x="188"/>
        <item x="132"/>
        <item x="146"/>
        <item x="108"/>
        <item x="191"/>
        <item x="84"/>
        <item x="62"/>
        <item x="13"/>
        <item x="71"/>
        <item x="145"/>
        <item x="173"/>
        <item x="221"/>
        <item x="11"/>
        <item x="82"/>
        <item x="91"/>
        <item x="89"/>
        <item x="79"/>
        <item x="169"/>
        <item x="222"/>
        <item x="113"/>
        <item x="154"/>
        <item x="122"/>
        <item x="148"/>
        <item x="3"/>
        <item x="97"/>
        <item x="22"/>
        <item x="192"/>
        <item x="213"/>
        <item x="20"/>
        <item x="124"/>
        <item x="190"/>
        <item x="24"/>
        <item x="218"/>
        <item x="205"/>
        <item x="130"/>
        <item x="46"/>
        <item x="168"/>
        <item x="119"/>
        <item x="180"/>
        <item x="116"/>
        <item x="141"/>
        <item x="23"/>
        <item x="49"/>
        <item x="41"/>
        <item x="111"/>
        <item x="167"/>
        <item x="143"/>
        <item x="149"/>
        <item x="156"/>
        <item x="144"/>
        <item x="38"/>
        <item x="44"/>
        <item x="163"/>
        <item x="162"/>
        <item x="56"/>
        <item x="76"/>
        <item x="64"/>
        <item t="default"/>
      </items>
    </pivotField>
    <pivotField showAll="0">
      <items count="230">
        <item x="64"/>
        <item x="56"/>
        <item x="149"/>
        <item x="24"/>
        <item x="205"/>
        <item x="168"/>
        <item x="218"/>
        <item x="141"/>
        <item x="113"/>
        <item x="154"/>
        <item x="71"/>
        <item x="163"/>
        <item x="11"/>
        <item x="173"/>
        <item x="109"/>
        <item x="44"/>
        <item x="76"/>
        <item x="214"/>
        <item x="38"/>
        <item x="169"/>
        <item x="130"/>
        <item x="137"/>
        <item x="120"/>
        <item x="46"/>
        <item x="186"/>
        <item x="55"/>
        <item x="89"/>
        <item x="122"/>
        <item x="156"/>
        <item x="84"/>
        <item x="79"/>
        <item x="74"/>
        <item x="151"/>
        <item x="29"/>
        <item x="68"/>
        <item x="9"/>
        <item x="209"/>
        <item x="49"/>
        <item x="111"/>
        <item x="20"/>
        <item x="41"/>
        <item x="48"/>
        <item x="200"/>
        <item x="50"/>
        <item x="116"/>
        <item x="2"/>
        <item x="82"/>
        <item x="192"/>
        <item x="39"/>
        <item x="157"/>
        <item x="160"/>
        <item x="195"/>
        <item x="43"/>
        <item x="91"/>
        <item x="97"/>
        <item x="193"/>
        <item x="112"/>
        <item x="131"/>
        <item x="170"/>
        <item x="119"/>
        <item x="31"/>
        <item x="67"/>
        <item x="37"/>
        <item x="57"/>
        <item x="213"/>
        <item x="180"/>
        <item x="3"/>
        <item x="99"/>
        <item x="21"/>
        <item x="135"/>
        <item x="5"/>
        <item x="94"/>
        <item x="34"/>
        <item x="117"/>
        <item x="144"/>
        <item x="217"/>
        <item x="100"/>
        <item x="95"/>
        <item x="114"/>
        <item x="190"/>
        <item x="32"/>
        <item x="7"/>
        <item x="129"/>
        <item x="221"/>
        <item x="124"/>
        <item x="136"/>
        <item x="126"/>
        <item x="62"/>
        <item x="146"/>
        <item x="203"/>
        <item x="60"/>
        <item x="23"/>
        <item x="108"/>
        <item x="47"/>
        <item x="13"/>
        <item x="167"/>
        <item x="165"/>
        <item x="54"/>
        <item x="8"/>
        <item x="197"/>
        <item x="102"/>
        <item x="216"/>
        <item x="4"/>
        <item x="33"/>
        <item x="176"/>
        <item x="16"/>
        <item x="145"/>
        <item x="106"/>
        <item x="201"/>
        <item x="30"/>
        <item x="183"/>
        <item x="17"/>
        <item x="181"/>
        <item x="162"/>
        <item x="0"/>
        <item x="35"/>
        <item x="143"/>
        <item x="133"/>
        <item x="194"/>
        <item x="92"/>
        <item x="65"/>
        <item x="52"/>
        <item x="10"/>
        <item x="14"/>
        <item x="42"/>
        <item x="86"/>
        <item x="59"/>
        <item x="185"/>
        <item x="159"/>
        <item x="226"/>
        <item x="87"/>
        <item x="6"/>
        <item x="128"/>
        <item x="177"/>
        <item x="93"/>
        <item x="36"/>
        <item x="18"/>
        <item x="227"/>
        <item x="132"/>
        <item x="22"/>
        <item x="191"/>
        <item x="175"/>
        <item x="174"/>
        <item x="72"/>
        <item x="139"/>
        <item x="158"/>
        <item x="148"/>
        <item x="61"/>
        <item x="199"/>
        <item x="182"/>
        <item x="69"/>
        <item x="225"/>
        <item x="77"/>
        <item x="188"/>
        <item x="28"/>
        <item x="189"/>
        <item x="88"/>
        <item x="206"/>
        <item x="81"/>
        <item x="198"/>
        <item x="147"/>
        <item x="184"/>
        <item x="45"/>
        <item x="140"/>
        <item x="78"/>
        <item x="196"/>
        <item x="204"/>
        <item x="208"/>
        <item x="153"/>
        <item x="118"/>
        <item x="27"/>
        <item x="222"/>
        <item x="179"/>
        <item x="15"/>
        <item x="127"/>
        <item x="210"/>
        <item x="178"/>
        <item x="85"/>
        <item x="40"/>
        <item x="51"/>
        <item x="53"/>
        <item x="80"/>
        <item x="25"/>
        <item x="26"/>
        <item x="223"/>
        <item x="98"/>
        <item x="202"/>
        <item x="105"/>
        <item x="110"/>
        <item x="83"/>
        <item x="125"/>
        <item x="1"/>
        <item x="164"/>
        <item x="101"/>
        <item x="211"/>
        <item x="152"/>
        <item x="220"/>
        <item x="107"/>
        <item x="104"/>
        <item x="224"/>
        <item x="70"/>
        <item x="207"/>
        <item x="134"/>
        <item x="212"/>
        <item x="228"/>
        <item x="172"/>
        <item x="90"/>
        <item x="63"/>
        <item x="115"/>
        <item x="73"/>
        <item x="123"/>
        <item x="138"/>
        <item x="171"/>
        <item x="215"/>
        <item x="150"/>
        <item x="58"/>
        <item x="219"/>
        <item x="103"/>
        <item x="187"/>
        <item x="12"/>
        <item x="66"/>
        <item x="96"/>
        <item x="161"/>
        <item x="142"/>
        <item x="166"/>
        <item x="75"/>
        <item x="19"/>
        <item x="121"/>
        <item x="155"/>
        <item t="default"/>
      </items>
    </pivotField>
    <pivotField showAl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0"/>
  </rowFields>
  <rowItems count="20">
    <i>
      <x v="57"/>
    </i>
    <i>
      <x v="33"/>
    </i>
    <i>
      <x v="31"/>
    </i>
    <i>
      <x v="7"/>
    </i>
    <i>
      <x v="67"/>
    </i>
    <i>
      <x v="62"/>
    </i>
    <i>
      <x v="37"/>
    </i>
    <i>
      <x v="97"/>
    </i>
    <i>
      <x v="87"/>
    </i>
    <i>
      <x v="95"/>
    </i>
    <i>
      <x v="71"/>
    </i>
    <i>
      <x v="6"/>
    </i>
    <i>
      <x/>
    </i>
    <i>
      <x v="13"/>
    </i>
    <i>
      <x v="89"/>
    </i>
    <i>
      <x v="96"/>
    </i>
    <i>
      <x v="90"/>
    </i>
    <i>
      <x v="43"/>
    </i>
    <i>
      <x v="93"/>
    </i>
    <i>
      <x v="41"/>
    </i>
  </rowItems>
  <colItems count="1">
    <i/>
  </colItems>
  <pageFields count="1">
    <pageField fld="3" item="1" hier="-1"/>
  </pageFields>
  <dataFields count="1">
    <dataField name="Second Order % Change (vs First Order)" fld="8" baseField="0" baseItem="0" numFmtId="10"/>
  </dataFields>
  <formats count="3">
    <format dxfId="52">
      <pivotArea outline="0" collapsedLevelsAreSubtotals="1" fieldPosition="0"/>
    </format>
    <format dxfId="5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4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4" iMeasureFld="0">
      <autoFilter ref="A1">
        <filterColumn colId="0">
          <top10 val="20" filterVal="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C523EF-0C00-4440-AF41-D3E65383354D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Customer">
  <location ref="B8:D105" firstHeaderRow="0" firstDataRow="1" firstDataCol="1" rowPageCount="1" colPageCount="1"/>
  <pivotFields count="12">
    <pivotField axis="axisRow" showAll="0">
      <items count="99">
        <item x="0"/>
        <item x="1"/>
        <item x="2"/>
        <item x="3"/>
        <item x="4"/>
        <item x="5"/>
        <item x="6"/>
        <item x="8"/>
        <item x="9"/>
        <item x="7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50"/>
        <item x="51"/>
        <item x="52"/>
        <item x="49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showAll="0"/>
    <pivotField numFmtId="14" showAll="0">
      <items count="266">
        <item x="205"/>
        <item x="39"/>
        <item x="260"/>
        <item x="34"/>
        <item x="96"/>
        <item x="71"/>
        <item x="219"/>
        <item x="161"/>
        <item x="66"/>
        <item x="198"/>
        <item x="31"/>
        <item x="262"/>
        <item x="196"/>
        <item x="183"/>
        <item x="155"/>
        <item x="51"/>
        <item x="222"/>
        <item x="89"/>
        <item x="94"/>
        <item x="226"/>
        <item x="15"/>
        <item x="215"/>
        <item x="168"/>
        <item x="9"/>
        <item x="16"/>
        <item x="63"/>
        <item x="200"/>
        <item x="97"/>
        <item x="238"/>
        <item x="23"/>
        <item x="84"/>
        <item x="98"/>
        <item x="165"/>
        <item x="184"/>
        <item x="0"/>
        <item x="148"/>
        <item x="216"/>
        <item x="235"/>
        <item x="241"/>
        <item x="239"/>
        <item x="185"/>
        <item x="181"/>
        <item x="223"/>
        <item x="255"/>
        <item x="132"/>
        <item x="58"/>
        <item x="5"/>
        <item x="232"/>
        <item x="90"/>
        <item x="209"/>
        <item x="20"/>
        <item x="99"/>
        <item x="42"/>
        <item x="40"/>
        <item x="203"/>
        <item x="252"/>
        <item x="100"/>
        <item x="124"/>
        <item x="35"/>
        <item x="172"/>
        <item x="143"/>
        <item x="60"/>
        <item x="52"/>
        <item x="126"/>
        <item x="91"/>
        <item x="231"/>
        <item x="242"/>
        <item x="6"/>
        <item x="129"/>
        <item x="21"/>
        <item x="44"/>
        <item x="1"/>
        <item x="69"/>
        <item x="144"/>
        <item x="50"/>
        <item x="82"/>
        <item x="151"/>
        <item x="145"/>
        <item x="101"/>
        <item x="206"/>
        <item x="12"/>
        <item x="180"/>
        <item x="95"/>
        <item x="67"/>
        <item x="152"/>
        <item x="102"/>
        <item x="103"/>
        <item x="48"/>
        <item x="80"/>
        <item x="229"/>
        <item x="173"/>
        <item x="208"/>
        <item x="28"/>
        <item x="104"/>
        <item x="83"/>
        <item x="64"/>
        <item x="264"/>
        <item x="26"/>
        <item x="139"/>
        <item x="125"/>
        <item x="233"/>
        <item x="54"/>
        <item x="212"/>
        <item x="56"/>
        <item x="17"/>
        <item x="70"/>
        <item x="258"/>
        <item x="57"/>
        <item x="230"/>
        <item x="46"/>
        <item x="186"/>
        <item x="41"/>
        <item x="45"/>
        <item x="136"/>
        <item x="244"/>
        <item x="121"/>
        <item x="221"/>
        <item x="199"/>
        <item x="261"/>
        <item x="72"/>
        <item x="210"/>
        <item x="177"/>
        <item x="174"/>
        <item x="81"/>
        <item x="105"/>
        <item x="240"/>
        <item x="106"/>
        <item x="162"/>
        <item x="47"/>
        <item x="247"/>
        <item x="245"/>
        <item x="29"/>
        <item x="257"/>
        <item x="85"/>
        <item x="178"/>
        <item x="73"/>
        <item x="248"/>
        <item x="140"/>
        <item x="137"/>
        <item x="213"/>
        <item x="107"/>
        <item x="130"/>
        <item x="133"/>
        <item x="13"/>
        <item x="153"/>
        <item x="201"/>
        <item x="122"/>
        <item x="227"/>
        <item x="236"/>
        <item x="76"/>
        <item x="59"/>
        <item x="158"/>
        <item x="207"/>
        <item x="92"/>
        <item x="234"/>
        <item x="108"/>
        <item x="3"/>
        <item x="77"/>
        <item x="187"/>
        <item x="204"/>
        <item x="170"/>
        <item x="156"/>
        <item x="259"/>
        <item x="141"/>
        <item x="146"/>
        <item x="24"/>
        <item x="163"/>
        <item x="4"/>
        <item x="134"/>
        <item x="38"/>
        <item x="55"/>
        <item x="10"/>
        <item x="253"/>
        <item x="147"/>
        <item x="27"/>
        <item x="171"/>
        <item x="32"/>
        <item x="36"/>
        <item x="109"/>
        <item x="188"/>
        <item x="49"/>
        <item x="159"/>
        <item x="65"/>
        <item x="78"/>
        <item x="175"/>
        <item x="127"/>
        <item x="37"/>
        <item x="263"/>
        <item x="74"/>
        <item x="220"/>
        <item x="164"/>
        <item x="68"/>
        <item x="33"/>
        <item x="197"/>
        <item x="189"/>
        <item x="157"/>
        <item x="53"/>
        <item x="224"/>
        <item x="250"/>
        <item x="18"/>
        <item x="11"/>
        <item x="19"/>
        <item x="202"/>
        <item x="110"/>
        <item x="25"/>
        <item x="86"/>
        <item x="111"/>
        <item x="166"/>
        <item x="112"/>
        <item x="217"/>
        <item x="149"/>
        <item x="237"/>
        <item x="243"/>
        <item x="169"/>
        <item x="182"/>
        <item x="225"/>
        <item x="256"/>
        <item x="190"/>
        <item x="7"/>
        <item x="191"/>
        <item x="251"/>
        <item x="211"/>
        <item x="22"/>
        <item x="160"/>
        <item x="43"/>
        <item x="254"/>
        <item x="113"/>
        <item x="114"/>
        <item x="61"/>
        <item x="115"/>
        <item x="62"/>
        <item x="192"/>
        <item x="116"/>
        <item x="93"/>
        <item x="128"/>
        <item x="193"/>
        <item x="8"/>
        <item x="176"/>
        <item x="87"/>
        <item x="117"/>
        <item x="167"/>
        <item x="194"/>
        <item x="2"/>
        <item x="218"/>
        <item x="150"/>
        <item x="246"/>
        <item x="30"/>
        <item x="88"/>
        <item x="179"/>
        <item x="75"/>
        <item x="249"/>
        <item x="142"/>
        <item x="138"/>
        <item x="214"/>
        <item x="118"/>
        <item x="131"/>
        <item x="135"/>
        <item x="14"/>
        <item x="154"/>
        <item x="119"/>
        <item x="123"/>
        <item x="228"/>
        <item x="195"/>
        <item x="79"/>
        <item x="120"/>
        <item t="default"/>
      </items>
    </pivotField>
    <pivotField axis="axisPage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dataField="1" showAll="0"/>
    <pivotField dataField="1" showAll="0">
      <items count="230">
        <item x="0"/>
        <item x="184"/>
        <item x="25"/>
        <item x="183"/>
        <item x="134"/>
        <item x="121"/>
        <item x="206"/>
        <item x="65"/>
        <item x="58"/>
        <item x="66"/>
        <item x="219"/>
        <item x="30"/>
        <item x="155"/>
        <item x="72"/>
        <item x="138"/>
        <item x="51"/>
        <item x="223"/>
        <item x="19"/>
        <item x="18"/>
        <item x="161"/>
        <item x="17"/>
        <item x="8"/>
        <item x="187"/>
        <item x="150"/>
        <item x="101"/>
        <item x="207"/>
        <item x="12"/>
        <item x="225"/>
        <item x="228"/>
        <item x="10"/>
        <item x="15"/>
        <item x="96"/>
        <item x="166"/>
        <item x="27"/>
        <item x="73"/>
        <item x="142"/>
        <item x="185"/>
        <item x="40"/>
        <item x="75"/>
        <item x="152"/>
        <item x="69"/>
        <item x="177"/>
        <item x="1"/>
        <item x="7"/>
        <item x="103"/>
        <item x="136"/>
        <item x="171"/>
        <item x="158"/>
        <item x="85"/>
        <item x="176"/>
        <item x="210"/>
        <item x="226"/>
        <item x="172"/>
        <item x="174"/>
        <item x="100"/>
        <item x="178"/>
        <item x="95"/>
        <item x="26"/>
        <item x="90"/>
        <item x="102"/>
        <item x="131"/>
        <item x="227"/>
        <item x="123"/>
        <item x="80"/>
        <item x="105"/>
        <item x="164"/>
        <item x="32"/>
        <item x="133"/>
        <item x="52"/>
        <item x="47"/>
        <item x="35"/>
        <item x="212"/>
        <item x="36"/>
        <item x="45"/>
        <item x="57"/>
        <item x="125"/>
        <item x="70"/>
        <item x="107"/>
        <item x="224"/>
        <item x="115"/>
        <item x="175"/>
        <item x="128"/>
        <item x="53"/>
        <item x="220"/>
        <item x="159"/>
        <item x="16"/>
        <item x="196"/>
        <item x="28"/>
        <item x="98"/>
        <item x="104"/>
        <item x="21"/>
        <item x="83"/>
        <item x="160"/>
        <item x="77"/>
        <item x="129"/>
        <item x="6"/>
        <item x="135"/>
        <item x="157"/>
        <item x="215"/>
        <item x="50"/>
        <item x="117"/>
        <item x="202"/>
        <item x="92"/>
        <item x="182"/>
        <item x="199"/>
        <item x="201"/>
        <item x="112"/>
        <item x="193"/>
        <item x="42"/>
        <item x="208"/>
        <item x="31"/>
        <item x="93"/>
        <item x="211"/>
        <item x="198"/>
        <item x="114"/>
        <item x="86"/>
        <item x="37"/>
        <item x="179"/>
        <item x="43"/>
        <item x="194"/>
        <item x="39"/>
        <item x="170"/>
        <item x="195"/>
        <item x="120"/>
        <item x="61"/>
        <item x="2"/>
        <item x="29"/>
        <item x="214"/>
        <item x="217"/>
        <item x="87"/>
        <item x="34"/>
        <item x="94"/>
        <item x="153"/>
        <item x="55"/>
        <item x="127"/>
        <item x="78"/>
        <item x="9"/>
        <item x="197"/>
        <item x="186"/>
        <item x="137"/>
        <item x="139"/>
        <item x="81"/>
        <item x="110"/>
        <item x="33"/>
        <item x="165"/>
        <item x="88"/>
        <item x="59"/>
        <item x="147"/>
        <item x="200"/>
        <item x="216"/>
        <item x="181"/>
        <item x="106"/>
        <item x="203"/>
        <item x="63"/>
        <item x="118"/>
        <item x="5"/>
        <item x="204"/>
        <item x="109"/>
        <item x="60"/>
        <item x="54"/>
        <item x="189"/>
        <item x="74"/>
        <item x="68"/>
        <item x="14"/>
        <item x="67"/>
        <item x="151"/>
        <item x="140"/>
        <item x="126"/>
        <item x="4"/>
        <item x="99"/>
        <item x="48"/>
        <item x="209"/>
        <item x="188"/>
        <item x="132"/>
        <item x="146"/>
        <item x="108"/>
        <item x="191"/>
        <item x="84"/>
        <item x="62"/>
        <item x="13"/>
        <item x="71"/>
        <item x="145"/>
        <item x="173"/>
        <item x="221"/>
        <item x="11"/>
        <item x="82"/>
        <item x="91"/>
        <item x="89"/>
        <item x="79"/>
        <item x="169"/>
        <item x="222"/>
        <item x="113"/>
        <item x="154"/>
        <item x="122"/>
        <item x="148"/>
        <item x="3"/>
        <item x="97"/>
        <item x="22"/>
        <item x="192"/>
        <item x="213"/>
        <item x="20"/>
        <item x="124"/>
        <item x="190"/>
        <item x="24"/>
        <item x="218"/>
        <item x="205"/>
        <item x="130"/>
        <item x="46"/>
        <item x="168"/>
        <item x="119"/>
        <item x="180"/>
        <item x="116"/>
        <item x="141"/>
        <item x="23"/>
        <item x="49"/>
        <item x="41"/>
        <item x="111"/>
        <item x="167"/>
        <item x="143"/>
        <item x="149"/>
        <item x="156"/>
        <item x="144"/>
        <item x="38"/>
        <item x="44"/>
        <item x="163"/>
        <item x="162"/>
        <item x="56"/>
        <item x="76"/>
        <item x="64"/>
        <item t="default"/>
      </items>
    </pivotField>
    <pivotField showAll="0">
      <items count="230">
        <item x="64"/>
        <item x="56"/>
        <item x="149"/>
        <item x="24"/>
        <item x="205"/>
        <item x="168"/>
        <item x="218"/>
        <item x="141"/>
        <item x="113"/>
        <item x="154"/>
        <item x="71"/>
        <item x="163"/>
        <item x="11"/>
        <item x="173"/>
        <item x="109"/>
        <item x="44"/>
        <item x="76"/>
        <item x="214"/>
        <item x="38"/>
        <item x="169"/>
        <item x="130"/>
        <item x="137"/>
        <item x="120"/>
        <item x="46"/>
        <item x="186"/>
        <item x="55"/>
        <item x="89"/>
        <item x="122"/>
        <item x="156"/>
        <item x="84"/>
        <item x="79"/>
        <item x="74"/>
        <item x="151"/>
        <item x="29"/>
        <item x="68"/>
        <item x="9"/>
        <item x="209"/>
        <item x="49"/>
        <item x="111"/>
        <item x="20"/>
        <item x="41"/>
        <item x="48"/>
        <item x="200"/>
        <item x="50"/>
        <item x="116"/>
        <item x="2"/>
        <item x="82"/>
        <item x="192"/>
        <item x="39"/>
        <item x="157"/>
        <item x="160"/>
        <item x="195"/>
        <item x="43"/>
        <item x="91"/>
        <item x="97"/>
        <item x="193"/>
        <item x="112"/>
        <item x="131"/>
        <item x="170"/>
        <item x="119"/>
        <item x="31"/>
        <item x="67"/>
        <item x="37"/>
        <item x="57"/>
        <item x="213"/>
        <item x="180"/>
        <item x="3"/>
        <item x="99"/>
        <item x="21"/>
        <item x="135"/>
        <item x="5"/>
        <item x="94"/>
        <item x="34"/>
        <item x="117"/>
        <item x="144"/>
        <item x="217"/>
        <item x="100"/>
        <item x="95"/>
        <item x="114"/>
        <item x="190"/>
        <item x="32"/>
        <item x="7"/>
        <item x="129"/>
        <item x="221"/>
        <item x="124"/>
        <item x="136"/>
        <item x="126"/>
        <item x="62"/>
        <item x="146"/>
        <item x="203"/>
        <item x="60"/>
        <item x="23"/>
        <item x="108"/>
        <item x="47"/>
        <item x="13"/>
        <item x="167"/>
        <item x="165"/>
        <item x="54"/>
        <item x="8"/>
        <item x="197"/>
        <item x="102"/>
        <item x="216"/>
        <item x="4"/>
        <item x="33"/>
        <item x="176"/>
        <item x="16"/>
        <item x="145"/>
        <item x="106"/>
        <item x="201"/>
        <item x="30"/>
        <item x="183"/>
        <item x="17"/>
        <item x="181"/>
        <item x="162"/>
        <item x="0"/>
        <item x="35"/>
        <item x="143"/>
        <item x="133"/>
        <item x="194"/>
        <item x="92"/>
        <item x="65"/>
        <item x="52"/>
        <item x="10"/>
        <item x="14"/>
        <item x="42"/>
        <item x="86"/>
        <item x="59"/>
        <item x="185"/>
        <item x="159"/>
        <item x="226"/>
        <item x="87"/>
        <item x="6"/>
        <item x="128"/>
        <item x="177"/>
        <item x="93"/>
        <item x="36"/>
        <item x="18"/>
        <item x="227"/>
        <item x="132"/>
        <item x="22"/>
        <item x="191"/>
        <item x="175"/>
        <item x="174"/>
        <item x="72"/>
        <item x="139"/>
        <item x="158"/>
        <item x="148"/>
        <item x="61"/>
        <item x="199"/>
        <item x="182"/>
        <item x="69"/>
        <item x="225"/>
        <item x="77"/>
        <item x="188"/>
        <item x="28"/>
        <item x="189"/>
        <item x="88"/>
        <item x="206"/>
        <item x="81"/>
        <item x="198"/>
        <item x="147"/>
        <item x="184"/>
        <item x="45"/>
        <item x="140"/>
        <item x="78"/>
        <item x="196"/>
        <item x="204"/>
        <item x="208"/>
        <item x="153"/>
        <item x="118"/>
        <item x="27"/>
        <item x="222"/>
        <item x="179"/>
        <item x="15"/>
        <item x="127"/>
        <item x="210"/>
        <item x="178"/>
        <item x="85"/>
        <item x="40"/>
        <item x="51"/>
        <item x="53"/>
        <item x="80"/>
        <item x="25"/>
        <item x="26"/>
        <item x="223"/>
        <item x="98"/>
        <item x="202"/>
        <item x="105"/>
        <item x="110"/>
        <item x="83"/>
        <item x="125"/>
        <item x="1"/>
        <item x="164"/>
        <item x="101"/>
        <item x="211"/>
        <item x="152"/>
        <item x="220"/>
        <item x="107"/>
        <item x="104"/>
        <item x="224"/>
        <item x="70"/>
        <item x="207"/>
        <item x="134"/>
        <item x="212"/>
        <item x="228"/>
        <item x="172"/>
        <item x="90"/>
        <item x="63"/>
        <item x="115"/>
        <item x="73"/>
        <item x="123"/>
        <item x="138"/>
        <item x="171"/>
        <item x="215"/>
        <item x="150"/>
        <item x="58"/>
        <item x="219"/>
        <item x="103"/>
        <item x="187"/>
        <item x="12"/>
        <item x="66"/>
        <item x="96"/>
        <item x="161"/>
        <item x="142"/>
        <item x="166"/>
        <item x="75"/>
        <item x="19"/>
        <item x="121"/>
        <item x="155"/>
        <item t="default"/>
      </items>
    </pivotField>
    <pivotField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0"/>
  </rowFields>
  <rowItems count="9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</rowItems>
  <colFields count="1">
    <field x="-2"/>
  </colFields>
  <colItems count="2">
    <i>
      <x/>
    </i>
    <i i="1">
      <x v="1"/>
    </i>
  </colItems>
  <pageFields count="1">
    <pageField fld="3" item="1" hier="-1"/>
  </pageFields>
  <dataFields count="2">
    <dataField name="Second Order Amount" fld="4" baseField="0" baseItem="0"/>
    <dataField name="First Order Amount" fld="5" baseField="0" baseItem="0"/>
  </dataFields>
  <formats count="1">
    <format dxfId="5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303DEC-84DE-4E39-9656-41288F2EB579}" name="first_orders_analysis_1" displayName="first_orders_analysis_1" ref="A1:H327" totalsRowShown="0">
  <autoFilter ref="A1:H327" xr:uid="{90303DEC-84DE-4E39-9656-41288F2EB579}"/>
  <tableColumns count="8">
    <tableColumn id="1" xr3:uid="{F89A472C-EE61-48E6-97AB-F9B768CD7D11}" name="customername" dataDxfId="71"/>
    <tableColumn id="2" xr3:uid="{1CC12038-C7A8-4552-A2B2-9B33B15A366A}" name="ordernumber"/>
    <tableColumn id="3" xr3:uid="{8D8FD979-FC62-4046-ACE1-C3BBCAE1AF1F}" name="orderdate" dataDxfId="70"/>
    <tableColumn id="4" xr3:uid="{D16A68BA-0143-4CAA-941F-B1FE5FBEF1B2}" name="order_rank"/>
    <tableColumn id="5" xr3:uid="{8A6ED703-7A54-406D-9F27-9B27897D1A1F}" name="current_amount_ordered"/>
    <tableColumn id="6" xr3:uid="{4C51E9EB-C01E-4D33-9C54-DEF8D67FA532}" name="prev_amount"/>
    <tableColumn id="7" xr3:uid="{0CA46CB2-8E4E-411E-A5B1-1EA0F25E7C83}" name="order_value_change"/>
    <tableColumn id="8" xr3:uid="{F848BC64-C5E4-45C7-898F-3935E00DD172}" name="value_change_type" dataDxfId="69">
      <calculatedColumnFormula array="1">_xlfn.IFS(G2 &gt; 0,"Positive", G2 &lt; 0, "Negative", G2 = 0, "First Order")</calculatedColumnFormula>
    </tableColumn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5CEA4-271D-415B-9F8D-C1A9D1BF89A0}">
  <dimension ref="A1:H327"/>
  <sheetViews>
    <sheetView tabSelected="1" workbookViewId="0">
      <selection activeCell="H2" sqref="H2"/>
    </sheetView>
  </sheetViews>
  <sheetFormatPr defaultRowHeight="14.5" x14ac:dyDescent="0.35"/>
  <cols>
    <col min="1" max="1" width="29" bestFit="1" customWidth="1"/>
    <col min="2" max="2" width="14" bestFit="1" customWidth="1"/>
    <col min="3" max="3" width="11.1796875" bestFit="1" customWidth="1"/>
    <col min="4" max="4" width="12" bestFit="1" customWidth="1"/>
    <col min="5" max="5" width="24" bestFit="1" customWidth="1"/>
    <col min="6" max="6" width="14" bestFit="1" customWidth="1"/>
    <col min="7" max="7" width="19.90625" bestFit="1" customWidth="1"/>
    <col min="8" max="8" width="19.089843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103</v>
      </c>
      <c r="E1" t="s">
        <v>107</v>
      </c>
      <c r="F1" t="s">
        <v>3</v>
      </c>
      <c r="G1" t="s">
        <v>4</v>
      </c>
      <c r="H1" t="s">
        <v>105</v>
      </c>
    </row>
    <row r="2" spans="1:8" x14ac:dyDescent="0.35">
      <c r="A2" t="s">
        <v>5</v>
      </c>
      <c r="B2">
        <v>10136</v>
      </c>
      <c r="C2" s="1">
        <v>37806</v>
      </c>
      <c r="D2">
        <v>1</v>
      </c>
      <c r="E2">
        <v>14232.7</v>
      </c>
      <c r="F2">
        <v>0</v>
      </c>
      <c r="G2">
        <v>0</v>
      </c>
      <c r="H2" t="str" cm="1">
        <f t="array" ref="H2">_xlfn.IFS(G2 &gt; 0,"Positive", G2 &lt; 0, "Negative", G2 = 0, "First Order")</f>
        <v>First Order</v>
      </c>
    </row>
    <row r="3" spans="1:8" x14ac:dyDescent="0.35">
      <c r="A3" t="s">
        <v>5</v>
      </c>
      <c r="B3">
        <v>10178</v>
      </c>
      <c r="C3" s="1">
        <v>37933</v>
      </c>
      <c r="D3">
        <v>2</v>
      </c>
      <c r="E3">
        <v>33818.339999999997</v>
      </c>
      <c r="F3">
        <v>14232.7</v>
      </c>
      <c r="G3">
        <v>19585.64</v>
      </c>
      <c r="H3" t="str" cm="1">
        <f t="array" ref="H3">_xlfn.IFS(G3 &gt; 0,"Positive", G3 &lt; 0, "Negative", G3 = 0, "First Order")</f>
        <v>Positive</v>
      </c>
    </row>
    <row r="4" spans="1:8" x14ac:dyDescent="0.35">
      <c r="A4" t="s">
        <v>5</v>
      </c>
      <c r="B4">
        <v>10397</v>
      </c>
      <c r="C4" s="1">
        <v>38439</v>
      </c>
      <c r="D4">
        <v>3</v>
      </c>
      <c r="E4">
        <v>12432.32</v>
      </c>
      <c r="F4">
        <v>33818.339999999997</v>
      </c>
      <c r="G4">
        <v>-21386.02</v>
      </c>
      <c r="H4" t="str" cm="1">
        <f t="array" ref="H4">_xlfn.IFS(G4 &gt; 0,"Positive", G4 &lt; 0, "Negative", G4 = 0, "First Order")</f>
        <v>Negative</v>
      </c>
    </row>
    <row r="5" spans="1:8" x14ac:dyDescent="0.35">
      <c r="A5" t="s">
        <v>6</v>
      </c>
      <c r="B5">
        <v>10280</v>
      </c>
      <c r="C5" s="1">
        <v>38216</v>
      </c>
      <c r="D5">
        <v>1</v>
      </c>
      <c r="E5">
        <v>48298.99</v>
      </c>
      <c r="F5">
        <v>0</v>
      </c>
      <c r="G5">
        <v>0</v>
      </c>
      <c r="H5" t="str" cm="1">
        <f t="array" ref="H5">_xlfn.IFS(G5 &gt; 0,"Positive", G5 &lt; 0, "Negative", G5 = 0, "First Order")</f>
        <v>First Order</v>
      </c>
    </row>
    <row r="6" spans="1:8" x14ac:dyDescent="0.35">
      <c r="A6" t="s">
        <v>6</v>
      </c>
      <c r="B6">
        <v>10293</v>
      </c>
      <c r="C6" s="1">
        <v>38239</v>
      </c>
      <c r="D6">
        <v>2</v>
      </c>
      <c r="E6">
        <v>33924.239999999998</v>
      </c>
      <c r="F6">
        <v>48298.99</v>
      </c>
      <c r="G6">
        <v>-14374.75</v>
      </c>
      <c r="H6" t="str" cm="1">
        <f t="array" ref="H6">_xlfn.IFS(G6 &gt; 0,"Positive", G6 &lt; 0, "Negative", G6 = 0, "First Order")</f>
        <v>Negative</v>
      </c>
    </row>
    <row r="7" spans="1:8" x14ac:dyDescent="0.35">
      <c r="A7" t="s">
        <v>7</v>
      </c>
      <c r="B7">
        <v>10148</v>
      </c>
      <c r="C7" s="1">
        <v>37875</v>
      </c>
      <c r="D7">
        <v>1</v>
      </c>
      <c r="E7">
        <v>41554.730000000003</v>
      </c>
      <c r="F7">
        <v>0</v>
      </c>
      <c r="G7">
        <v>0</v>
      </c>
      <c r="H7" t="str" cm="1">
        <f t="array" ref="H7">_xlfn.IFS(G7 &gt; 0,"Positive", G7 &lt; 0, "Negative", G7 = 0, "First Order")</f>
        <v>First Order</v>
      </c>
    </row>
    <row r="8" spans="1:8" x14ac:dyDescent="0.35">
      <c r="A8" t="s">
        <v>7</v>
      </c>
      <c r="B8">
        <v>10169</v>
      </c>
      <c r="C8" s="1">
        <v>37929</v>
      </c>
      <c r="D8">
        <v>2</v>
      </c>
      <c r="E8">
        <v>38547.19</v>
      </c>
      <c r="F8">
        <v>41554.730000000003</v>
      </c>
      <c r="G8">
        <v>-3007.54</v>
      </c>
      <c r="H8" t="str" cm="1">
        <f t="array" ref="H8">_xlfn.IFS(G8 &gt; 0,"Positive", G8 &lt; 0, "Negative", G8 = 0, "First Order")</f>
        <v>Negative</v>
      </c>
    </row>
    <row r="9" spans="1:8" x14ac:dyDescent="0.35">
      <c r="A9" t="s">
        <v>7</v>
      </c>
      <c r="B9">
        <v>10370</v>
      </c>
      <c r="C9" s="1">
        <v>38372</v>
      </c>
      <c r="D9">
        <v>3</v>
      </c>
      <c r="E9">
        <v>27083.78</v>
      </c>
      <c r="F9">
        <v>38547.19</v>
      </c>
      <c r="G9">
        <v>-11463.41</v>
      </c>
      <c r="H9" t="str" cm="1">
        <f t="array" ref="H9">_xlfn.IFS(G9 &gt; 0,"Positive", G9 &lt; 0, "Negative", G9 = 0, "First Order")</f>
        <v>Negative</v>
      </c>
    </row>
    <row r="10" spans="1:8" x14ac:dyDescent="0.35">
      <c r="A10" t="s">
        <v>7</v>
      </c>
      <c r="B10">
        <v>10391</v>
      </c>
      <c r="C10" s="1">
        <v>38420</v>
      </c>
      <c r="D10">
        <v>4</v>
      </c>
      <c r="E10">
        <v>29848.52</v>
      </c>
      <c r="F10">
        <v>27083.78</v>
      </c>
      <c r="G10">
        <v>2764.74</v>
      </c>
      <c r="H10" t="str" cm="1">
        <f t="array" ref="H10">_xlfn.IFS(G10 &gt; 0,"Positive", G10 &lt; 0, "Negative", G10 = 0, "First Order")</f>
        <v>Positive</v>
      </c>
    </row>
    <row r="11" spans="1:8" x14ac:dyDescent="0.35">
      <c r="A11" t="s">
        <v>8</v>
      </c>
      <c r="B11">
        <v>10123</v>
      </c>
      <c r="C11" s="1">
        <v>37761</v>
      </c>
      <c r="D11">
        <v>1</v>
      </c>
      <c r="E11">
        <v>14571.44</v>
      </c>
      <c r="F11">
        <v>0</v>
      </c>
      <c r="G11">
        <v>0</v>
      </c>
      <c r="H11" t="str" cm="1">
        <f t="array" ref="H11">_xlfn.IFS(G11 &gt; 0,"Positive", G11 &lt; 0, "Negative", G11 = 0, "First Order")</f>
        <v>First Order</v>
      </c>
    </row>
    <row r="12" spans="1:8" x14ac:dyDescent="0.35">
      <c r="A12" t="s">
        <v>8</v>
      </c>
      <c r="B12">
        <v>10298</v>
      </c>
      <c r="C12" s="1">
        <v>38257</v>
      </c>
      <c r="D12">
        <v>2</v>
      </c>
      <c r="E12">
        <v>6066.78</v>
      </c>
      <c r="F12">
        <v>14571.44</v>
      </c>
      <c r="G12">
        <v>-8504.66</v>
      </c>
      <c r="H12" t="str" cm="1">
        <f t="array" ref="H12">_xlfn.IFS(G12 &gt; 0,"Positive", G12 &lt; 0, "Negative", G12 = 0, "First Order")</f>
        <v>Negative</v>
      </c>
    </row>
    <row r="13" spans="1:8" x14ac:dyDescent="0.35">
      <c r="A13" t="s">
        <v>8</v>
      </c>
      <c r="B13">
        <v>10345</v>
      </c>
      <c r="C13" s="1">
        <v>38316</v>
      </c>
      <c r="D13">
        <v>3</v>
      </c>
      <c r="E13">
        <v>1676.14</v>
      </c>
      <c r="F13">
        <v>6066.78</v>
      </c>
      <c r="G13">
        <v>-4390.6400000000003</v>
      </c>
      <c r="H13" t="str" cm="1">
        <f t="array" ref="H13">_xlfn.IFS(G13 &gt; 0,"Positive", G13 &lt; 0, "Negative", G13 = 0, "First Order")</f>
        <v>Negative</v>
      </c>
    </row>
    <row r="14" spans="1:8" x14ac:dyDescent="0.35">
      <c r="A14" t="s">
        <v>9</v>
      </c>
      <c r="B14">
        <v>10193</v>
      </c>
      <c r="C14" s="1">
        <v>37946</v>
      </c>
      <c r="D14">
        <v>1</v>
      </c>
      <c r="E14">
        <v>35505.629999999997</v>
      </c>
      <c r="F14">
        <v>0</v>
      </c>
      <c r="G14">
        <v>0</v>
      </c>
      <c r="H14" t="str" cm="1">
        <f t="array" ref="H14">_xlfn.IFS(G14 &gt; 0,"Positive", G14 &lt; 0, "Negative", G14 = 0, "First Order")</f>
        <v>First Order</v>
      </c>
    </row>
    <row r="15" spans="1:8" x14ac:dyDescent="0.35">
      <c r="A15" t="s">
        <v>9</v>
      </c>
      <c r="B15">
        <v>10265</v>
      </c>
      <c r="C15" s="1">
        <v>38170</v>
      </c>
      <c r="D15">
        <v>2</v>
      </c>
      <c r="E15">
        <v>9415.1299999999992</v>
      </c>
      <c r="F15">
        <v>35505.629999999997</v>
      </c>
      <c r="G15">
        <v>-26090.5</v>
      </c>
      <c r="H15" t="str" cm="1">
        <f t="array" ref="H15">_xlfn.IFS(G15 &gt; 0,"Positive", G15 &lt; 0, "Negative", G15 = 0, "First Order")</f>
        <v>Negative</v>
      </c>
    </row>
    <row r="16" spans="1:8" x14ac:dyDescent="0.35">
      <c r="A16" t="s">
        <v>9</v>
      </c>
      <c r="B16">
        <v>10415</v>
      </c>
      <c r="C16" s="1">
        <v>38481</v>
      </c>
      <c r="D16">
        <v>3</v>
      </c>
      <c r="E16">
        <v>10945.26</v>
      </c>
      <c r="F16">
        <v>9415.1299999999992</v>
      </c>
      <c r="G16">
        <v>1530.13</v>
      </c>
      <c r="H16" t="str" cm="1">
        <f t="array" ref="H16">_xlfn.IFS(G16 &gt; 0,"Positive", G16 &lt; 0, "Negative", G16 = 0, "First Order")</f>
        <v>Positive</v>
      </c>
    </row>
    <row r="17" spans="1:8" x14ac:dyDescent="0.35">
      <c r="A17" t="s">
        <v>10</v>
      </c>
      <c r="B17">
        <v>10120</v>
      </c>
      <c r="C17" s="1">
        <v>37740</v>
      </c>
      <c r="D17">
        <v>1</v>
      </c>
      <c r="E17">
        <v>45864.03</v>
      </c>
      <c r="F17">
        <v>0</v>
      </c>
      <c r="G17">
        <v>0</v>
      </c>
      <c r="H17" t="str" cm="1">
        <f t="array" ref="H17">_xlfn.IFS(G17 &gt; 0,"Positive", G17 &lt; 0, "Negative", G17 = 0, "First Order")</f>
        <v>First Order</v>
      </c>
    </row>
    <row r="18" spans="1:8" x14ac:dyDescent="0.35">
      <c r="A18" t="s">
        <v>10</v>
      </c>
      <c r="B18">
        <v>10125</v>
      </c>
      <c r="C18" s="1">
        <v>37762</v>
      </c>
      <c r="D18">
        <v>2</v>
      </c>
      <c r="E18">
        <v>7565.08</v>
      </c>
      <c r="F18">
        <v>45864.03</v>
      </c>
      <c r="G18">
        <v>-38298.949999999997</v>
      </c>
      <c r="H18" t="str" cm="1">
        <f t="array" ref="H18">_xlfn.IFS(G18 &gt; 0,"Positive", G18 &lt; 0, "Negative", G18 = 0, "First Order")</f>
        <v>Negative</v>
      </c>
    </row>
    <row r="19" spans="1:8" x14ac:dyDescent="0.35">
      <c r="A19" t="s">
        <v>10</v>
      </c>
      <c r="B19">
        <v>10223</v>
      </c>
      <c r="C19" s="1">
        <v>38037</v>
      </c>
      <c r="D19">
        <v>3</v>
      </c>
      <c r="E19">
        <v>44894.74</v>
      </c>
      <c r="F19">
        <v>7565.08</v>
      </c>
      <c r="G19">
        <v>37329.660000000003</v>
      </c>
      <c r="H19" t="str" cm="1">
        <f t="array" ref="H19">_xlfn.IFS(G19 &gt; 0,"Positive", G19 &lt; 0, "Negative", G19 = 0, "First Order")</f>
        <v>Positive</v>
      </c>
    </row>
    <row r="20" spans="1:8" x14ac:dyDescent="0.35">
      <c r="A20" t="s">
        <v>10</v>
      </c>
      <c r="B20">
        <v>10342</v>
      </c>
      <c r="C20" s="1">
        <v>38315</v>
      </c>
      <c r="D20">
        <v>4</v>
      </c>
      <c r="E20">
        <v>40265.599999999999</v>
      </c>
      <c r="F20">
        <v>44894.74</v>
      </c>
      <c r="G20">
        <v>-4629.1400000000003</v>
      </c>
      <c r="H20" t="str" cm="1">
        <f t="array" ref="H20">_xlfn.IFS(G20 &gt; 0,"Positive", G20 &lt; 0, "Negative", G20 = 0, "First Order")</f>
        <v>Negative</v>
      </c>
    </row>
    <row r="21" spans="1:8" x14ac:dyDescent="0.35">
      <c r="A21" t="s">
        <v>10</v>
      </c>
      <c r="B21">
        <v>10347</v>
      </c>
      <c r="C21" s="1">
        <v>38320</v>
      </c>
      <c r="D21">
        <v>5</v>
      </c>
      <c r="E21">
        <v>41995.62</v>
      </c>
      <c r="F21">
        <v>40265.599999999999</v>
      </c>
      <c r="G21">
        <v>1730.02</v>
      </c>
      <c r="H21" t="str" cm="1">
        <f t="array" ref="H21">_xlfn.IFS(G21 &gt; 0,"Positive", G21 &lt; 0, "Negative", G21 = 0, "First Order")</f>
        <v>Positive</v>
      </c>
    </row>
    <row r="22" spans="1:8" x14ac:dyDescent="0.35">
      <c r="A22" t="s">
        <v>11</v>
      </c>
      <c r="B22">
        <v>10152</v>
      </c>
      <c r="C22" s="1">
        <v>37889</v>
      </c>
      <c r="D22">
        <v>1</v>
      </c>
      <c r="E22">
        <v>9821.32</v>
      </c>
      <c r="F22">
        <v>0</v>
      </c>
      <c r="G22">
        <v>0</v>
      </c>
      <c r="H22" t="str" cm="1">
        <f t="array" ref="H22">_xlfn.IFS(G22 &gt; 0,"Positive", G22 &lt; 0, "Negative", G22 = 0, "First Order")</f>
        <v>First Order</v>
      </c>
    </row>
    <row r="23" spans="1:8" x14ac:dyDescent="0.35">
      <c r="A23" t="s">
        <v>11</v>
      </c>
      <c r="B23">
        <v>10174</v>
      </c>
      <c r="C23" s="1">
        <v>37931</v>
      </c>
      <c r="D23">
        <v>2</v>
      </c>
      <c r="E23">
        <v>23936.53</v>
      </c>
      <c r="F23">
        <v>9821.32</v>
      </c>
      <c r="G23">
        <v>14115.21</v>
      </c>
      <c r="H23" t="str" cm="1">
        <f t="array" ref="H23">_xlfn.IFS(G23 &gt; 0,"Positive", G23 &lt; 0, "Negative", G23 = 0, "First Order")</f>
        <v>Positive</v>
      </c>
    </row>
    <row r="24" spans="1:8" x14ac:dyDescent="0.35">
      <c r="A24" t="s">
        <v>11</v>
      </c>
      <c r="B24">
        <v>10374</v>
      </c>
      <c r="C24" s="1">
        <v>38385</v>
      </c>
      <c r="D24">
        <v>3</v>
      </c>
      <c r="E24">
        <v>21432.31</v>
      </c>
      <c r="F24">
        <v>23936.53</v>
      </c>
      <c r="G24">
        <v>-2504.2199999999998</v>
      </c>
      <c r="H24" t="str" cm="1">
        <f t="array" ref="H24">_xlfn.IFS(G24 &gt; 0,"Positive", G24 &lt; 0, "Negative", G24 = 0, "First Order")</f>
        <v>Negative</v>
      </c>
    </row>
    <row r="25" spans="1:8" x14ac:dyDescent="0.35">
      <c r="A25" t="s">
        <v>12</v>
      </c>
      <c r="B25">
        <v>10130</v>
      </c>
      <c r="C25" s="1">
        <v>37788</v>
      </c>
      <c r="D25">
        <v>1</v>
      </c>
      <c r="E25">
        <v>6036.96</v>
      </c>
      <c r="F25">
        <v>0</v>
      </c>
      <c r="G25">
        <v>0</v>
      </c>
      <c r="H25" t="str" cm="1">
        <f t="array" ref="H25">_xlfn.IFS(G25 &gt; 0,"Positive", G25 &lt; 0, "Negative", G25 = 0, "First Order")</f>
        <v>First Order</v>
      </c>
    </row>
    <row r="26" spans="1:8" x14ac:dyDescent="0.35">
      <c r="A26" t="s">
        <v>12</v>
      </c>
      <c r="B26">
        <v>10290</v>
      </c>
      <c r="C26" s="1">
        <v>38237</v>
      </c>
      <c r="D26">
        <v>2</v>
      </c>
      <c r="E26">
        <v>5858.56</v>
      </c>
      <c r="F26">
        <v>6036.96</v>
      </c>
      <c r="G26">
        <v>-178.4</v>
      </c>
      <c r="H26" t="str" cm="1">
        <f t="array" ref="H26">_xlfn.IFS(G26 &gt; 0,"Positive", G26 &lt; 0, "Negative", G26 = 0, "First Order")</f>
        <v>Negative</v>
      </c>
    </row>
    <row r="27" spans="1:8" x14ac:dyDescent="0.35">
      <c r="A27" t="s">
        <v>12</v>
      </c>
      <c r="B27">
        <v>10352</v>
      </c>
      <c r="C27" s="1">
        <v>38324</v>
      </c>
      <c r="D27">
        <v>3</v>
      </c>
      <c r="E27">
        <v>9658.74</v>
      </c>
      <c r="F27">
        <v>5858.56</v>
      </c>
      <c r="G27">
        <v>3800.18</v>
      </c>
      <c r="H27" t="str" cm="1">
        <f t="array" ref="H27">_xlfn.IFS(G27 &gt; 0,"Positive", G27 &lt; 0, "Negative", G27 = 0, "First Order")</f>
        <v>Positive</v>
      </c>
    </row>
    <row r="28" spans="1:8" x14ac:dyDescent="0.35">
      <c r="A28" t="s">
        <v>13</v>
      </c>
      <c r="B28">
        <v>10216</v>
      </c>
      <c r="C28" s="1">
        <v>38019</v>
      </c>
      <c r="D28">
        <v>1</v>
      </c>
      <c r="E28">
        <v>5759.42</v>
      </c>
      <c r="F28">
        <v>0</v>
      </c>
      <c r="G28">
        <v>0</v>
      </c>
      <c r="H28" t="str" cm="1">
        <f t="array" ref="H28">_xlfn.IFS(G28 &gt; 0,"Positive", G28 &lt; 0, "Negative", G28 = 0, "First Order")</f>
        <v>First Order</v>
      </c>
    </row>
    <row r="29" spans="1:8" x14ac:dyDescent="0.35">
      <c r="A29" t="s">
        <v>13</v>
      </c>
      <c r="B29">
        <v>10304</v>
      </c>
      <c r="C29" s="1">
        <v>38271</v>
      </c>
      <c r="D29">
        <v>2</v>
      </c>
      <c r="E29">
        <v>53116.99</v>
      </c>
      <c r="F29">
        <v>5759.42</v>
      </c>
      <c r="G29">
        <v>47357.57</v>
      </c>
      <c r="H29" t="str" cm="1">
        <f t="array" ref="H29">_xlfn.IFS(G29 &gt; 0,"Positive", G29 &lt; 0, "Negative", G29 = 0, "First Order")</f>
        <v>Positive</v>
      </c>
    </row>
    <row r="30" spans="1:8" x14ac:dyDescent="0.35">
      <c r="A30" t="s">
        <v>14</v>
      </c>
      <c r="B30">
        <v>10211</v>
      </c>
      <c r="C30" s="1">
        <v>38001</v>
      </c>
      <c r="D30">
        <v>1</v>
      </c>
      <c r="E30">
        <v>49165.16</v>
      </c>
      <c r="F30">
        <v>0</v>
      </c>
      <c r="G30">
        <v>0</v>
      </c>
      <c r="H30" t="str" cm="1">
        <f t="array" ref="H30">_xlfn.IFS(G30 &gt; 0,"Positive", G30 &lt; 0, "Negative", G30 = 0, "First Order")</f>
        <v>First Order</v>
      </c>
    </row>
    <row r="31" spans="1:8" x14ac:dyDescent="0.35">
      <c r="A31" t="s">
        <v>14</v>
      </c>
      <c r="B31">
        <v>10252</v>
      </c>
      <c r="C31" s="1">
        <v>38133</v>
      </c>
      <c r="D31">
        <v>2</v>
      </c>
      <c r="E31">
        <v>25080.959999999999</v>
      </c>
      <c r="F31">
        <v>49165.16</v>
      </c>
      <c r="G31">
        <v>-24084.2</v>
      </c>
      <c r="H31" t="str" cm="1">
        <f t="array" ref="H31">_xlfn.IFS(G31 &gt; 0,"Positive", G31 &lt; 0, "Negative", G31 = 0, "First Order")</f>
        <v>Negative</v>
      </c>
    </row>
    <row r="32" spans="1:8" x14ac:dyDescent="0.35">
      <c r="A32" t="s">
        <v>14</v>
      </c>
      <c r="B32">
        <v>10402</v>
      </c>
      <c r="C32" s="1">
        <v>38449</v>
      </c>
      <c r="D32">
        <v>3</v>
      </c>
      <c r="E32">
        <v>12190.85</v>
      </c>
      <c r="F32">
        <v>25080.959999999999</v>
      </c>
      <c r="G32">
        <v>-12890.11</v>
      </c>
      <c r="H32" t="str" cm="1">
        <f t="array" ref="H32">_xlfn.IFS(G32 &gt; 0,"Positive", G32 &lt; 0, "Negative", G32 = 0, "First Order")</f>
        <v>Negative</v>
      </c>
    </row>
    <row r="33" spans="1:8" x14ac:dyDescent="0.35">
      <c r="A33" t="s">
        <v>15</v>
      </c>
      <c r="B33">
        <v>10110</v>
      </c>
      <c r="C33" s="1">
        <v>37698</v>
      </c>
      <c r="D33">
        <v>1</v>
      </c>
      <c r="E33">
        <v>48425.69</v>
      </c>
      <c r="F33">
        <v>0</v>
      </c>
      <c r="G33">
        <v>0</v>
      </c>
      <c r="H33" t="str" cm="1">
        <f t="array" ref="H33">_xlfn.IFS(G33 &gt; 0,"Positive", G33 &lt; 0, "Negative", G33 = 0, "First Order")</f>
        <v>First Order</v>
      </c>
    </row>
    <row r="34" spans="1:8" x14ac:dyDescent="0.35">
      <c r="A34" t="s">
        <v>15</v>
      </c>
      <c r="B34">
        <v>10306</v>
      </c>
      <c r="C34" s="1">
        <v>38274</v>
      </c>
      <c r="D34">
        <v>2</v>
      </c>
      <c r="E34">
        <v>52825.29</v>
      </c>
      <c r="F34">
        <v>48425.69</v>
      </c>
      <c r="G34">
        <v>4399.6000000000004</v>
      </c>
      <c r="H34" t="str" cm="1">
        <f t="array" ref="H34">_xlfn.IFS(G34 &gt; 0,"Positive", G34 &lt; 0, "Negative", G34 = 0, "First Order")</f>
        <v>Positive</v>
      </c>
    </row>
    <row r="35" spans="1:8" x14ac:dyDescent="0.35">
      <c r="A35" t="s">
        <v>15</v>
      </c>
      <c r="B35">
        <v>10332</v>
      </c>
      <c r="C35" s="1">
        <v>38308</v>
      </c>
      <c r="D35">
        <v>3</v>
      </c>
      <c r="E35">
        <v>47159.11</v>
      </c>
      <c r="F35">
        <v>52825.29</v>
      </c>
      <c r="G35">
        <v>-5666.18</v>
      </c>
      <c r="H35" t="str" cm="1">
        <f t="array" ref="H35">_xlfn.IFS(G35 &gt; 0,"Positive", G35 &lt; 0, "Negative", G35 = 0, "First Order")</f>
        <v>Negative</v>
      </c>
    </row>
    <row r="36" spans="1:8" x14ac:dyDescent="0.35">
      <c r="A36" t="s">
        <v>16</v>
      </c>
      <c r="B36">
        <v>10103</v>
      </c>
      <c r="C36" s="1">
        <v>37650</v>
      </c>
      <c r="D36">
        <v>1</v>
      </c>
      <c r="E36">
        <v>50218.95</v>
      </c>
      <c r="F36">
        <v>0</v>
      </c>
      <c r="G36">
        <v>0</v>
      </c>
      <c r="H36" t="str" cm="1">
        <f t="array" ref="H36">_xlfn.IFS(G36 &gt; 0,"Positive", G36 &lt; 0, "Negative", G36 = 0, "First Order")</f>
        <v>First Order</v>
      </c>
    </row>
    <row r="37" spans="1:8" x14ac:dyDescent="0.35">
      <c r="A37" t="s">
        <v>16</v>
      </c>
      <c r="B37">
        <v>10158</v>
      </c>
      <c r="C37" s="1">
        <v>37904</v>
      </c>
      <c r="D37">
        <v>2</v>
      </c>
      <c r="E37">
        <v>1491.38</v>
      </c>
      <c r="F37">
        <v>50218.95</v>
      </c>
      <c r="G37">
        <v>-48727.57</v>
      </c>
      <c r="H37" t="str" cm="1">
        <f t="array" ref="H37">_xlfn.IFS(G37 &gt; 0,"Positive", G37 &lt; 0, "Negative", G37 = 0, "First Order")</f>
        <v>Negative</v>
      </c>
    </row>
    <row r="38" spans="1:8" x14ac:dyDescent="0.35">
      <c r="A38" t="s">
        <v>16</v>
      </c>
      <c r="B38">
        <v>10309</v>
      </c>
      <c r="C38" s="1">
        <v>38275</v>
      </c>
      <c r="D38">
        <v>3</v>
      </c>
      <c r="E38">
        <v>17876.32</v>
      </c>
      <c r="F38">
        <v>1491.38</v>
      </c>
      <c r="G38">
        <v>16384.939999999999</v>
      </c>
      <c r="H38" t="str" cm="1">
        <f t="array" ref="H38">_xlfn.IFS(G38 &gt; 0,"Positive", G38 &lt; 0, "Negative", G38 = 0, "First Order")</f>
        <v>Positive</v>
      </c>
    </row>
    <row r="39" spans="1:8" x14ac:dyDescent="0.35">
      <c r="A39" t="s">
        <v>16</v>
      </c>
      <c r="B39">
        <v>10325</v>
      </c>
      <c r="C39" s="1">
        <v>38296</v>
      </c>
      <c r="D39">
        <v>4</v>
      </c>
      <c r="E39">
        <v>34638.14</v>
      </c>
      <c r="F39">
        <v>17876.32</v>
      </c>
      <c r="G39">
        <v>16761.82</v>
      </c>
      <c r="H39" t="str" cm="1">
        <f t="array" ref="H39">_xlfn.IFS(G39 &gt; 0,"Positive", G39 &lt; 0, "Negative", G39 = 0, "First Order")</f>
        <v>Positive</v>
      </c>
    </row>
    <row r="40" spans="1:8" x14ac:dyDescent="0.35">
      <c r="A40" t="s">
        <v>17</v>
      </c>
      <c r="B40">
        <v>10296</v>
      </c>
      <c r="C40" s="1">
        <v>38245</v>
      </c>
      <c r="D40">
        <v>1</v>
      </c>
      <c r="E40">
        <v>31310.09</v>
      </c>
      <c r="F40">
        <v>0</v>
      </c>
      <c r="G40">
        <v>0</v>
      </c>
      <c r="H40" t="str" cm="1">
        <f t="array" ref="H40">_xlfn.IFS(G40 &gt; 0,"Positive", G40 &lt; 0, "Negative", G40 = 0, "First Order")</f>
        <v>First Order</v>
      </c>
    </row>
    <row r="41" spans="1:8" x14ac:dyDescent="0.35">
      <c r="A41" t="s">
        <v>18</v>
      </c>
      <c r="B41">
        <v>10101</v>
      </c>
      <c r="C41" s="1">
        <v>37630</v>
      </c>
      <c r="D41">
        <v>1</v>
      </c>
      <c r="E41">
        <v>10549.01</v>
      </c>
      <c r="F41">
        <v>0</v>
      </c>
      <c r="G41">
        <v>0</v>
      </c>
      <c r="H41" t="str" cm="1">
        <f t="array" ref="H41">_xlfn.IFS(G41 &gt; 0,"Positive", G41 &lt; 0, "Negative", G41 = 0, "First Order")</f>
        <v>First Order</v>
      </c>
    </row>
    <row r="42" spans="1:8" x14ac:dyDescent="0.35">
      <c r="A42" t="s">
        <v>18</v>
      </c>
      <c r="B42">
        <v>10300</v>
      </c>
      <c r="C42" s="1">
        <v>37898</v>
      </c>
      <c r="D42">
        <v>2</v>
      </c>
      <c r="E42">
        <v>24101.81</v>
      </c>
      <c r="F42">
        <v>10549.01</v>
      </c>
      <c r="G42">
        <v>13552.8</v>
      </c>
      <c r="H42" t="str" cm="1">
        <f t="array" ref="H42">_xlfn.IFS(G42 &gt; 0,"Positive", G42 &lt; 0, "Negative", G42 = 0, "First Order")</f>
        <v>Positive</v>
      </c>
    </row>
    <row r="43" spans="1:8" x14ac:dyDescent="0.35">
      <c r="A43" t="s">
        <v>18</v>
      </c>
      <c r="B43">
        <v>10230</v>
      </c>
      <c r="C43" s="1">
        <v>38061</v>
      </c>
      <c r="D43">
        <v>3</v>
      </c>
      <c r="E43">
        <v>33820.620000000003</v>
      </c>
      <c r="F43">
        <v>24101.81</v>
      </c>
      <c r="G43">
        <v>9718.81</v>
      </c>
      <c r="H43" t="str" cm="1">
        <f t="array" ref="H43">_xlfn.IFS(G43 &gt; 0,"Positive", G43 &lt; 0, "Negative", G43 = 0, "First Order")</f>
        <v>Positive</v>
      </c>
    </row>
    <row r="44" spans="1:8" x14ac:dyDescent="0.35">
      <c r="A44" t="s">
        <v>18</v>
      </c>
      <c r="B44">
        <v>10323</v>
      </c>
      <c r="C44" s="1">
        <v>38296</v>
      </c>
      <c r="D44">
        <v>4</v>
      </c>
      <c r="E44">
        <v>7466.32</v>
      </c>
      <c r="F44">
        <v>33820.620000000003</v>
      </c>
      <c r="G44">
        <v>-26354.3</v>
      </c>
      <c r="H44" t="str" cm="1">
        <f t="array" ref="H44">_xlfn.IFS(G44 &gt; 0,"Positive", G44 &lt; 0, "Negative", G44 = 0, "First Order")</f>
        <v>Negative</v>
      </c>
    </row>
    <row r="45" spans="1:8" x14ac:dyDescent="0.35">
      <c r="A45" t="s">
        <v>19</v>
      </c>
      <c r="B45">
        <v>10154</v>
      </c>
      <c r="C45" s="1">
        <v>37896</v>
      </c>
      <c r="D45">
        <v>1</v>
      </c>
      <c r="E45">
        <v>4465.8500000000004</v>
      </c>
      <c r="F45">
        <v>0</v>
      </c>
      <c r="G45">
        <v>0</v>
      </c>
      <c r="H45" t="str" cm="1">
        <f t="array" ref="H45">_xlfn.IFS(G45 &gt; 0,"Positive", G45 &lt; 0, "Negative", G45 = 0, "First Order")</f>
        <v>First Order</v>
      </c>
    </row>
    <row r="46" spans="1:8" x14ac:dyDescent="0.35">
      <c r="A46" t="s">
        <v>19</v>
      </c>
      <c r="B46">
        <v>10376</v>
      </c>
      <c r="C46" s="1">
        <v>38391</v>
      </c>
      <c r="D46">
        <v>2</v>
      </c>
      <c r="E46">
        <v>3452.75</v>
      </c>
      <c r="F46">
        <v>4465.8500000000004</v>
      </c>
      <c r="G46">
        <v>-1013.1</v>
      </c>
      <c r="H46" t="str" cm="1">
        <f t="array" ref="H46">_xlfn.IFS(G46 &gt; 0,"Positive", G46 &lt; 0, "Negative", G46 = 0, "First Order")</f>
        <v>Negative</v>
      </c>
    </row>
    <row r="47" spans="1:8" x14ac:dyDescent="0.35">
      <c r="A47" t="s">
        <v>20</v>
      </c>
      <c r="B47">
        <v>10177</v>
      </c>
      <c r="C47" s="1">
        <v>37932</v>
      </c>
      <c r="D47">
        <v>1</v>
      </c>
      <c r="E47">
        <v>31428.21</v>
      </c>
      <c r="F47">
        <v>0</v>
      </c>
      <c r="G47">
        <v>0</v>
      </c>
      <c r="H47" t="str" cm="1">
        <f t="array" ref="H47">_xlfn.IFS(G47 &gt; 0,"Positive", G47 &lt; 0, "Negative", G47 = 0, "First Order")</f>
        <v>First Order</v>
      </c>
    </row>
    <row r="48" spans="1:8" x14ac:dyDescent="0.35">
      <c r="A48" t="s">
        <v>20</v>
      </c>
      <c r="B48">
        <v>10231</v>
      </c>
      <c r="C48" s="1">
        <v>38065</v>
      </c>
      <c r="D48">
        <v>2</v>
      </c>
      <c r="E48">
        <v>15322.93</v>
      </c>
      <c r="F48">
        <v>31428.21</v>
      </c>
      <c r="G48">
        <v>-16105.28</v>
      </c>
      <c r="H48" t="str" cm="1">
        <f t="array" ref="H48">_xlfn.IFS(G48 &gt; 0,"Positive", G48 &lt; 0, "Negative", G48 = 0, "First Order")</f>
        <v>Negative</v>
      </c>
    </row>
    <row r="49" spans="1:8" x14ac:dyDescent="0.35">
      <c r="A49" t="s">
        <v>21</v>
      </c>
      <c r="B49">
        <v>10228</v>
      </c>
      <c r="C49" s="1">
        <v>38056</v>
      </c>
      <c r="D49">
        <v>1</v>
      </c>
      <c r="E49">
        <v>20355.240000000002</v>
      </c>
      <c r="F49">
        <v>0</v>
      </c>
      <c r="G49">
        <v>0</v>
      </c>
      <c r="H49" t="str" cm="1">
        <f t="array" ref="H49">_xlfn.IFS(G49 &gt; 0,"Positive", G49 &lt; 0, "Negative", G49 = 0, "First Order")</f>
        <v>First Order</v>
      </c>
    </row>
    <row r="50" spans="1:8" x14ac:dyDescent="0.35">
      <c r="A50" t="s">
        <v>21</v>
      </c>
      <c r="B50">
        <v>10249</v>
      </c>
      <c r="C50" s="1">
        <v>38115</v>
      </c>
      <c r="D50">
        <v>2</v>
      </c>
      <c r="E50">
        <v>11843.45</v>
      </c>
      <c r="F50">
        <v>20355.240000000002</v>
      </c>
      <c r="G50">
        <v>-8511.7900000000009</v>
      </c>
      <c r="H50" t="str" cm="1">
        <f t="array" ref="H50">_xlfn.IFS(G50 &gt; 0,"Positive", G50 &lt; 0, "Negative", G50 = 0, "First Order")</f>
        <v>Negative</v>
      </c>
    </row>
    <row r="51" spans="1:8" x14ac:dyDescent="0.35">
      <c r="A51" t="s">
        <v>22</v>
      </c>
      <c r="B51">
        <v>10206</v>
      </c>
      <c r="C51" s="1">
        <v>37960</v>
      </c>
      <c r="D51">
        <v>1</v>
      </c>
      <c r="E51">
        <v>36527.61</v>
      </c>
      <c r="F51">
        <v>0</v>
      </c>
      <c r="G51">
        <v>0</v>
      </c>
      <c r="H51" t="str" cm="1">
        <f t="array" ref="H51">_xlfn.IFS(G51 &gt; 0,"Positive", G51 &lt; 0, "Negative", G51 = 0, "First Order")</f>
        <v>First Order</v>
      </c>
    </row>
    <row r="52" spans="1:8" x14ac:dyDescent="0.35">
      <c r="A52" t="s">
        <v>22</v>
      </c>
      <c r="B52">
        <v>10313</v>
      </c>
      <c r="C52" s="1">
        <v>38282</v>
      </c>
      <c r="D52">
        <v>2</v>
      </c>
      <c r="E52">
        <v>33594.58</v>
      </c>
      <c r="F52">
        <v>36527.61</v>
      </c>
      <c r="G52">
        <v>-2933.03</v>
      </c>
      <c r="H52" t="str" cm="1">
        <f t="array" ref="H52">_xlfn.IFS(G52 &gt; 0,"Positive", G52 &lt; 0, "Negative", G52 = 0, "First Order")</f>
        <v>Negative</v>
      </c>
    </row>
    <row r="53" spans="1:8" x14ac:dyDescent="0.35">
      <c r="A53" t="s">
        <v>23</v>
      </c>
      <c r="B53">
        <v>10183</v>
      </c>
      <c r="C53" s="1">
        <v>37938</v>
      </c>
      <c r="D53">
        <v>1</v>
      </c>
      <c r="E53">
        <v>34606.28</v>
      </c>
      <c r="F53">
        <v>0</v>
      </c>
      <c r="G53">
        <v>0</v>
      </c>
      <c r="H53" t="str" cm="1">
        <f t="array" ref="H53">_xlfn.IFS(G53 &gt; 0,"Positive", G53 &lt; 0, "Negative", G53 = 0, "First Order")</f>
        <v>First Order</v>
      </c>
    </row>
    <row r="54" spans="1:8" x14ac:dyDescent="0.35">
      <c r="A54" t="s">
        <v>23</v>
      </c>
      <c r="B54">
        <v>10307</v>
      </c>
      <c r="C54" s="1">
        <v>38274</v>
      </c>
      <c r="D54">
        <v>2</v>
      </c>
      <c r="E54">
        <v>23333.06</v>
      </c>
      <c r="F54">
        <v>34606.28</v>
      </c>
      <c r="G54">
        <v>-11273.22</v>
      </c>
      <c r="H54" t="str" cm="1">
        <f t="array" ref="H54">_xlfn.IFS(G54 &gt; 0,"Positive", G54 &lt; 0, "Negative", G54 = 0, "First Order")</f>
        <v>Negative</v>
      </c>
    </row>
    <row r="55" spans="1:8" x14ac:dyDescent="0.35">
      <c r="A55" t="s">
        <v>24</v>
      </c>
      <c r="B55">
        <v>10115</v>
      </c>
      <c r="C55" s="1">
        <v>37715</v>
      </c>
      <c r="D55">
        <v>1</v>
      </c>
      <c r="E55">
        <v>21665.98</v>
      </c>
      <c r="F55">
        <v>0</v>
      </c>
      <c r="G55">
        <v>0</v>
      </c>
      <c r="H55" t="str" cm="1">
        <f t="array" ref="H55">_xlfn.IFS(G55 &gt; 0,"Positive", G55 &lt; 0, "Negative", G55 = 0, "First Order")</f>
        <v>First Order</v>
      </c>
    </row>
    <row r="56" spans="1:8" x14ac:dyDescent="0.35">
      <c r="A56" t="s">
        <v>24</v>
      </c>
      <c r="B56">
        <v>10163</v>
      </c>
      <c r="C56" s="1">
        <v>37914</v>
      </c>
      <c r="D56">
        <v>2</v>
      </c>
      <c r="E56">
        <v>22042.37</v>
      </c>
      <c r="F56">
        <v>21665.98</v>
      </c>
      <c r="G56">
        <v>376.39</v>
      </c>
      <c r="H56" t="str" cm="1">
        <f t="array" ref="H56">_xlfn.IFS(G56 &gt; 0,"Positive", G56 &lt; 0, "Negative", G56 = 0, "First Order")</f>
        <v>Positive</v>
      </c>
    </row>
    <row r="57" spans="1:8" x14ac:dyDescent="0.35">
      <c r="A57" t="s">
        <v>24</v>
      </c>
      <c r="B57">
        <v>10337</v>
      </c>
      <c r="C57" s="1">
        <v>38312</v>
      </c>
      <c r="D57">
        <v>3</v>
      </c>
      <c r="E57">
        <v>25505.98</v>
      </c>
      <c r="F57">
        <v>22042.37</v>
      </c>
      <c r="G57">
        <v>3463.61</v>
      </c>
      <c r="H57" t="str" cm="1">
        <f t="array" ref="H57">_xlfn.IFS(G57 &gt; 0,"Positive", G57 &lt; 0, "Negative", G57 = 0, "First Order")</f>
        <v>Positive</v>
      </c>
    </row>
    <row r="58" spans="1:8" x14ac:dyDescent="0.35">
      <c r="A58" t="s">
        <v>25</v>
      </c>
      <c r="B58">
        <v>10220</v>
      </c>
      <c r="C58" s="1">
        <v>38029</v>
      </c>
      <c r="D58">
        <v>1</v>
      </c>
      <c r="E58">
        <v>32538.74</v>
      </c>
      <c r="F58">
        <v>0</v>
      </c>
      <c r="G58">
        <v>0</v>
      </c>
      <c r="H58" t="str" cm="1">
        <f t="array" ref="H58">_xlfn.IFS(G58 &gt; 0,"Positive", G58 &lt; 0, "Negative", G58 = 0, "First Order")</f>
        <v>First Order</v>
      </c>
    </row>
    <row r="59" spans="1:8" x14ac:dyDescent="0.35">
      <c r="A59" t="s">
        <v>25</v>
      </c>
      <c r="B59">
        <v>10297</v>
      </c>
      <c r="C59" s="1">
        <v>38246</v>
      </c>
      <c r="D59">
        <v>2</v>
      </c>
      <c r="E59">
        <v>17359.53</v>
      </c>
      <c r="F59">
        <v>32538.74</v>
      </c>
      <c r="G59">
        <v>-15179.21</v>
      </c>
      <c r="H59" t="str" cm="1">
        <f t="array" ref="H59">_xlfn.IFS(G59 &gt; 0,"Positive", G59 &lt; 0, "Negative", G59 = 0, "First Order")</f>
        <v>Negative</v>
      </c>
    </row>
    <row r="60" spans="1:8" x14ac:dyDescent="0.35">
      <c r="A60" t="s">
        <v>26</v>
      </c>
      <c r="B60">
        <v>10222</v>
      </c>
      <c r="C60" s="1">
        <v>38036</v>
      </c>
      <c r="D60">
        <v>1</v>
      </c>
      <c r="E60">
        <v>56822.65</v>
      </c>
      <c r="F60">
        <v>0</v>
      </c>
      <c r="G60">
        <v>0</v>
      </c>
      <c r="H60" t="str" cm="1">
        <f t="array" ref="H60">_xlfn.IFS(G60 &gt; 0,"Positive", G60 &lt; 0, "Negative", G60 = 0, "First Order")</f>
        <v>First Order</v>
      </c>
    </row>
    <row r="61" spans="1:8" x14ac:dyDescent="0.35">
      <c r="A61" t="s">
        <v>26</v>
      </c>
      <c r="B61">
        <v>10226</v>
      </c>
      <c r="C61" s="1">
        <v>38043</v>
      </c>
      <c r="D61">
        <v>2</v>
      </c>
      <c r="E61">
        <v>23552.59</v>
      </c>
      <c r="F61">
        <v>56822.65</v>
      </c>
      <c r="G61">
        <v>-33270.06</v>
      </c>
      <c r="H61" t="str" cm="1">
        <f t="array" ref="H61">_xlfn.IFS(G61 &gt; 0,"Positive", G61 &lt; 0, "Negative", G61 = 0, "First Order")</f>
        <v>Negative</v>
      </c>
    </row>
    <row r="62" spans="1:8" x14ac:dyDescent="0.35">
      <c r="A62" t="s">
        <v>27</v>
      </c>
      <c r="B62">
        <v>10147</v>
      </c>
      <c r="C62" s="1">
        <v>37869</v>
      </c>
      <c r="D62">
        <v>1</v>
      </c>
      <c r="E62">
        <v>32680.31</v>
      </c>
      <c r="F62">
        <v>0</v>
      </c>
      <c r="G62">
        <v>0</v>
      </c>
      <c r="H62" t="str" cm="1">
        <f t="array" ref="H62">_xlfn.IFS(G62 &gt; 0,"Positive", G62 &lt; 0, "Negative", G62 = 0, "First Order")</f>
        <v>First Order</v>
      </c>
    </row>
    <row r="63" spans="1:8" x14ac:dyDescent="0.35">
      <c r="A63" t="s">
        <v>27</v>
      </c>
      <c r="B63">
        <v>10274</v>
      </c>
      <c r="C63" s="1">
        <v>38189</v>
      </c>
      <c r="D63">
        <v>2</v>
      </c>
      <c r="E63">
        <v>12530.51</v>
      </c>
      <c r="F63">
        <v>32680.31</v>
      </c>
      <c r="G63">
        <v>-20149.8</v>
      </c>
      <c r="H63" t="str" cm="1">
        <f t="array" ref="H63">_xlfn.IFS(G63 &gt; 0,"Positive", G63 &lt; 0, "Negative", G63 = 0, "First Order")</f>
        <v>Negative</v>
      </c>
    </row>
    <row r="64" spans="1:8" x14ac:dyDescent="0.35">
      <c r="A64" t="s">
        <v>27</v>
      </c>
      <c r="B64">
        <v>10369</v>
      </c>
      <c r="C64" s="1">
        <v>38372</v>
      </c>
      <c r="D64">
        <v>3</v>
      </c>
      <c r="E64">
        <v>28322.83</v>
      </c>
      <c r="F64">
        <v>12530.51</v>
      </c>
      <c r="G64">
        <v>15792.32</v>
      </c>
      <c r="H64" t="str" cm="1">
        <f t="array" ref="H64">_xlfn.IFS(G64 &gt; 0,"Positive", G64 &lt; 0, "Negative", G64 = 0, "First Order")</f>
        <v>Positive</v>
      </c>
    </row>
    <row r="65" spans="1:8" x14ac:dyDescent="0.35">
      <c r="A65" t="s">
        <v>28</v>
      </c>
      <c r="B65">
        <v>10159</v>
      </c>
      <c r="C65" s="1">
        <v>37904</v>
      </c>
      <c r="D65">
        <v>1</v>
      </c>
      <c r="E65">
        <v>54682.68</v>
      </c>
      <c r="F65">
        <v>0</v>
      </c>
      <c r="G65">
        <v>0</v>
      </c>
      <c r="H65" t="str" cm="1">
        <f t="array" ref="H65">_xlfn.IFS(G65 &gt; 0,"Positive", G65 &lt; 0, "Negative", G65 = 0, "First Order")</f>
        <v>First Order</v>
      </c>
    </row>
    <row r="66" spans="1:8" x14ac:dyDescent="0.35">
      <c r="A66" t="s">
        <v>28</v>
      </c>
      <c r="B66">
        <v>10162</v>
      </c>
      <c r="C66" s="1">
        <v>37912</v>
      </c>
      <c r="D66">
        <v>2</v>
      </c>
      <c r="E66">
        <v>30876.44</v>
      </c>
      <c r="F66">
        <v>54682.68</v>
      </c>
      <c r="G66">
        <v>-23806.240000000002</v>
      </c>
      <c r="H66" t="str" cm="1">
        <f t="array" ref="H66">_xlfn.IFS(G66 &gt; 0,"Positive", G66 &lt; 0, "Negative", G66 = 0, "First Order")</f>
        <v>Negative</v>
      </c>
    </row>
    <row r="67" spans="1:8" x14ac:dyDescent="0.35">
      <c r="A67" t="s">
        <v>28</v>
      </c>
      <c r="B67">
        <v>10381</v>
      </c>
      <c r="C67" s="1">
        <v>38400</v>
      </c>
      <c r="D67">
        <v>3</v>
      </c>
      <c r="E67">
        <v>32626.09</v>
      </c>
      <c r="F67">
        <v>30876.44</v>
      </c>
      <c r="G67">
        <v>1749.65</v>
      </c>
      <c r="H67" t="str" cm="1">
        <f t="array" ref="H67">_xlfn.IFS(G67 &gt; 0,"Positive", G67 &lt; 0, "Negative", G67 = 0, "First Order")</f>
        <v>Positive</v>
      </c>
    </row>
    <row r="68" spans="1:8" x14ac:dyDescent="0.35">
      <c r="A68" t="s">
        <v>28</v>
      </c>
      <c r="B68">
        <v>10384</v>
      </c>
      <c r="C68" s="1">
        <v>38406</v>
      </c>
      <c r="D68">
        <v>4</v>
      </c>
      <c r="E68">
        <v>14155.57</v>
      </c>
      <c r="F68">
        <v>32626.09</v>
      </c>
      <c r="G68">
        <v>-18470.52</v>
      </c>
      <c r="H68" t="str" cm="1">
        <f t="array" ref="H68">_xlfn.IFS(G68 &gt; 0,"Positive", G68 &lt; 0, "Negative", G68 = 0, "First Order")</f>
        <v>Negative</v>
      </c>
    </row>
    <row r="69" spans="1:8" x14ac:dyDescent="0.35">
      <c r="A69" t="s">
        <v>29</v>
      </c>
      <c r="B69">
        <v>10126</v>
      </c>
      <c r="C69" s="1">
        <v>37769</v>
      </c>
      <c r="D69">
        <v>1</v>
      </c>
      <c r="E69">
        <v>57131.92</v>
      </c>
      <c r="F69">
        <v>0</v>
      </c>
      <c r="G69">
        <v>0</v>
      </c>
      <c r="H69" t="str" cm="1">
        <f t="array" ref="H69">_xlfn.IFS(G69 &gt; 0,"Positive", G69 &lt; 0, "Negative", G69 = 0, "First Order")</f>
        <v>First Order</v>
      </c>
    </row>
    <row r="70" spans="1:8" x14ac:dyDescent="0.35">
      <c r="A70" t="s">
        <v>29</v>
      </c>
      <c r="B70">
        <v>10214</v>
      </c>
      <c r="C70" s="1">
        <v>38012</v>
      </c>
      <c r="D70">
        <v>2</v>
      </c>
      <c r="E70">
        <v>22162.61</v>
      </c>
      <c r="F70">
        <v>57131.92</v>
      </c>
      <c r="G70">
        <v>-34969.31</v>
      </c>
      <c r="H70" t="str" cm="1">
        <f t="array" ref="H70">_xlfn.IFS(G70 &gt; 0,"Positive", G70 &lt; 0, "Negative", G70 = 0, "First Order")</f>
        <v>Negative</v>
      </c>
    </row>
    <row r="71" spans="1:8" x14ac:dyDescent="0.35">
      <c r="A71" t="s">
        <v>29</v>
      </c>
      <c r="B71">
        <v>10348</v>
      </c>
      <c r="C71" s="1">
        <v>38292</v>
      </c>
      <c r="D71">
        <v>3</v>
      </c>
      <c r="E71">
        <v>33145.56</v>
      </c>
      <c r="F71">
        <v>22162.61</v>
      </c>
      <c r="G71">
        <v>10982.95</v>
      </c>
      <c r="H71" t="str" cm="1">
        <f t="array" ref="H71">_xlfn.IFS(G71 &gt; 0,"Positive", G71 &lt; 0, "Negative", G71 = 0, "First Order")</f>
        <v>Positive</v>
      </c>
    </row>
    <row r="72" spans="1:8" x14ac:dyDescent="0.35">
      <c r="A72" t="s">
        <v>30</v>
      </c>
      <c r="B72">
        <v>10108</v>
      </c>
      <c r="C72" s="1">
        <v>37683</v>
      </c>
      <c r="D72">
        <v>1</v>
      </c>
      <c r="E72">
        <v>51001.22</v>
      </c>
      <c r="F72">
        <v>0</v>
      </c>
      <c r="G72">
        <v>0</v>
      </c>
      <c r="H72" t="str" cm="1">
        <f t="array" ref="H72">_xlfn.IFS(G72 &gt; 0,"Positive", G72 &lt; 0, "Negative", G72 = 0, "First Order")</f>
        <v>First Order</v>
      </c>
    </row>
    <row r="73" spans="1:8" x14ac:dyDescent="0.35">
      <c r="A73" t="s">
        <v>30</v>
      </c>
      <c r="B73">
        <v>10198</v>
      </c>
      <c r="C73" s="1">
        <v>37952</v>
      </c>
      <c r="D73">
        <v>2</v>
      </c>
      <c r="E73">
        <v>20644.240000000002</v>
      </c>
      <c r="F73">
        <v>51001.22</v>
      </c>
      <c r="G73">
        <v>-30356.98</v>
      </c>
      <c r="H73" t="str" cm="1">
        <f t="array" ref="H73">_xlfn.IFS(G73 &gt; 0,"Positive", G73 &lt; 0, "Negative", G73 = 0, "First Order")</f>
        <v>Negative</v>
      </c>
    </row>
    <row r="74" spans="1:8" x14ac:dyDescent="0.35">
      <c r="A74" t="s">
        <v>30</v>
      </c>
      <c r="B74">
        <v>10330</v>
      </c>
      <c r="C74" s="1">
        <v>38307</v>
      </c>
      <c r="D74">
        <v>3</v>
      </c>
      <c r="E74">
        <v>15822.84</v>
      </c>
      <c r="F74">
        <v>20644.240000000002</v>
      </c>
      <c r="G74">
        <v>-4821.3999999999996</v>
      </c>
      <c r="H74" t="str" cm="1">
        <f t="array" ref="H74">_xlfn.IFS(G74 &gt; 0,"Positive", G74 &lt; 0, "Negative", G74 = 0, "First Order")</f>
        <v>Negative</v>
      </c>
    </row>
    <row r="75" spans="1:8" x14ac:dyDescent="0.35">
      <c r="A75" t="s">
        <v>31</v>
      </c>
      <c r="B75">
        <v>10180</v>
      </c>
      <c r="C75" s="1">
        <v>37936</v>
      </c>
      <c r="D75">
        <v>1</v>
      </c>
      <c r="E75">
        <v>42783.81</v>
      </c>
      <c r="F75">
        <v>0</v>
      </c>
      <c r="G75">
        <v>0</v>
      </c>
      <c r="H75" t="str" cm="1">
        <f t="array" ref="H75">_xlfn.IFS(G75 &gt; 0,"Positive", G75 &lt; 0, "Negative", G75 = 0, "First Order")</f>
        <v>First Order</v>
      </c>
    </row>
    <row r="76" spans="1:8" x14ac:dyDescent="0.35">
      <c r="A76" t="s">
        <v>31</v>
      </c>
      <c r="B76">
        <v>10224</v>
      </c>
      <c r="C76" s="1">
        <v>38038</v>
      </c>
      <c r="D76">
        <v>2</v>
      </c>
      <c r="E76">
        <v>18997.89</v>
      </c>
      <c r="F76">
        <v>42783.81</v>
      </c>
      <c r="G76">
        <v>-23785.919999999998</v>
      </c>
      <c r="H76" t="str" cm="1">
        <f t="array" ref="H76">_xlfn.IFS(G76 &gt; 0,"Positive", G76 &lt; 0, "Negative", G76 = 0, "First Order")</f>
        <v>Negative</v>
      </c>
    </row>
    <row r="77" spans="1:8" x14ac:dyDescent="0.35">
      <c r="A77" t="s">
        <v>32</v>
      </c>
      <c r="B77">
        <v>10105</v>
      </c>
      <c r="C77" s="1">
        <v>37663</v>
      </c>
      <c r="D77">
        <v>1</v>
      </c>
      <c r="E77">
        <v>53959.21</v>
      </c>
      <c r="F77">
        <v>0</v>
      </c>
      <c r="G77">
        <v>0</v>
      </c>
      <c r="H77" t="str" cm="1">
        <f t="array" ref="H77">_xlfn.IFS(G77 &gt; 0,"Positive", G77 &lt; 0, "Negative", G77 = 0, "First Order")</f>
        <v>First Order</v>
      </c>
    </row>
    <row r="78" spans="1:8" x14ac:dyDescent="0.35">
      <c r="A78" t="s">
        <v>32</v>
      </c>
      <c r="B78">
        <v>10238</v>
      </c>
      <c r="C78" s="1">
        <v>38086</v>
      </c>
      <c r="D78">
        <v>2</v>
      </c>
      <c r="E78">
        <v>28211.7</v>
      </c>
      <c r="F78">
        <v>53959.21</v>
      </c>
      <c r="G78">
        <v>-25747.51</v>
      </c>
      <c r="H78" t="str" cm="1">
        <f t="array" ref="H78">_xlfn.IFS(G78 &gt; 0,"Positive", G78 &lt; 0, "Negative", G78 = 0, "First Order")</f>
        <v>Negative</v>
      </c>
    </row>
    <row r="79" spans="1:8" x14ac:dyDescent="0.35">
      <c r="A79" t="s">
        <v>32</v>
      </c>
      <c r="B79">
        <v>10256</v>
      </c>
      <c r="C79" s="1">
        <v>38146</v>
      </c>
      <c r="D79">
        <v>3</v>
      </c>
      <c r="E79">
        <v>4710.7299999999996</v>
      </c>
      <c r="F79">
        <v>28211.7</v>
      </c>
      <c r="G79">
        <v>-23500.97</v>
      </c>
      <c r="H79" t="str" cm="1">
        <f t="array" ref="H79">_xlfn.IFS(G79 &gt; 0,"Positive", G79 &lt; 0, "Negative", G79 = 0, "First Order")</f>
        <v>Negative</v>
      </c>
    </row>
    <row r="80" spans="1:8" x14ac:dyDescent="0.35">
      <c r="A80" t="s">
        <v>32</v>
      </c>
      <c r="B80">
        <v>10327</v>
      </c>
      <c r="C80" s="1">
        <v>38301</v>
      </c>
      <c r="D80">
        <v>4</v>
      </c>
      <c r="E80">
        <v>20564.86</v>
      </c>
      <c r="F80">
        <v>4710.7299999999996</v>
      </c>
      <c r="G80">
        <v>15854.13</v>
      </c>
      <c r="H80" t="str" cm="1">
        <f t="array" ref="H80">_xlfn.IFS(G80 &gt; 0,"Positive", G80 &lt; 0, "Negative", G80 = 0, "First Order")</f>
        <v>Positive</v>
      </c>
    </row>
    <row r="81" spans="1:8" x14ac:dyDescent="0.35">
      <c r="A81" t="s">
        <v>32</v>
      </c>
      <c r="B81">
        <v>10406</v>
      </c>
      <c r="C81" s="1">
        <v>38457</v>
      </c>
      <c r="D81">
        <v>5</v>
      </c>
      <c r="E81">
        <v>21638.62</v>
      </c>
      <c r="F81">
        <v>20564.86</v>
      </c>
      <c r="G81">
        <v>1073.76</v>
      </c>
      <c r="H81" t="str" cm="1">
        <f t="array" ref="H81">_xlfn.IFS(G81 &gt; 0,"Positive", G81 &lt; 0, "Negative", G81 = 0, "First Order")</f>
        <v>Positive</v>
      </c>
    </row>
    <row r="82" spans="1:8" x14ac:dyDescent="0.35">
      <c r="A82" t="s">
        <v>33</v>
      </c>
      <c r="B82">
        <v>10272</v>
      </c>
      <c r="C82" s="1">
        <v>38188</v>
      </c>
      <c r="D82">
        <v>1</v>
      </c>
      <c r="E82">
        <v>23715.7</v>
      </c>
      <c r="F82">
        <v>0</v>
      </c>
      <c r="G82">
        <v>0</v>
      </c>
      <c r="H82" t="str" cm="1">
        <f t="array" ref="H82">_xlfn.IFS(G82 &gt; 0,"Positive", G82 &lt; 0, "Negative", G82 = 0, "First Order")</f>
        <v>First Order</v>
      </c>
    </row>
    <row r="83" spans="1:8" x14ac:dyDescent="0.35">
      <c r="A83" t="s">
        <v>33</v>
      </c>
      <c r="B83">
        <v>10281</v>
      </c>
      <c r="C83" s="1">
        <v>38218</v>
      </c>
      <c r="D83">
        <v>2</v>
      </c>
      <c r="E83">
        <v>39641.43</v>
      </c>
      <c r="F83">
        <v>23715.7</v>
      </c>
      <c r="G83">
        <v>15925.73</v>
      </c>
      <c r="H83" t="str" cm="1">
        <f t="array" ref="H83">_xlfn.IFS(G83 &gt; 0,"Positive", G83 &lt; 0, "Negative", G83 = 0, "First Order")</f>
        <v>Positive</v>
      </c>
    </row>
    <row r="84" spans="1:8" x14ac:dyDescent="0.35">
      <c r="A84" t="s">
        <v>33</v>
      </c>
      <c r="B84">
        <v>10318</v>
      </c>
      <c r="C84" s="1">
        <v>38293</v>
      </c>
      <c r="D84">
        <v>3</v>
      </c>
      <c r="E84">
        <v>35152.120000000003</v>
      </c>
      <c r="F84">
        <v>39641.43</v>
      </c>
      <c r="G84">
        <v>-4489.3100000000004</v>
      </c>
      <c r="H84" t="str" cm="1">
        <f t="array" ref="H84">_xlfn.IFS(G84 &gt; 0,"Positive", G84 &lt; 0, "Negative", G84 = 0, "First Order")</f>
        <v>Negative</v>
      </c>
    </row>
    <row r="85" spans="1:8" x14ac:dyDescent="0.35">
      <c r="A85" t="s">
        <v>33</v>
      </c>
      <c r="B85">
        <v>10422</v>
      </c>
      <c r="C85" s="1">
        <v>38502</v>
      </c>
      <c r="D85">
        <v>4</v>
      </c>
      <c r="E85">
        <v>5849.44</v>
      </c>
      <c r="F85">
        <v>35152.120000000003</v>
      </c>
      <c r="G85">
        <v>-29302.68</v>
      </c>
      <c r="H85" t="str" cm="1">
        <f t="array" ref="H85">_xlfn.IFS(G85 &gt; 0,"Positive", G85 &lt; 0, "Negative", G85 = 0, "First Order")</f>
        <v>Negative</v>
      </c>
    </row>
    <row r="86" spans="1:8" x14ac:dyDescent="0.35">
      <c r="A86" t="s">
        <v>34</v>
      </c>
      <c r="B86">
        <v>10207</v>
      </c>
      <c r="C86" s="1">
        <v>37964</v>
      </c>
      <c r="D86">
        <v>1</v>
      </c>
      <c r="E86">
        <v>59265.14</v>
      </c>
      <c r="F86">
        <v>0</v>
      </c>
      <c r="G86">
        <v>0</v>
      </c>
      <c r="H86" t="str" cm="1">
        <f t="array" ref="H86">_xlfn.IFS(G86 &gt; 0,"Positive", G86 &lt; 0, "Negative", G86 = 0, "First Order")</f>
        <v>First Order</v>
      </c>
    </row>
    <row r="87" spans="1:8" x14ac:dyDescent="0.35">
      <c r="A87" t="s">
        <v>34</v>
      </c>
      <c r="B87">
        <v>10243</v>
      </c>
      <c r="C87" s="1">
        <v>38103</v>
      </c>
      <c r="D87">
        <v>2</v>
      </c>
      <c r="E87">
        <v>6276.6</v>
      </c>
      <c r="F87">
        <v>59265.14</v>
      </c>
      <c r="G87">
        <v>-52988.54</v>
      </c>
      <c r="H87" t="str" cm="1">
        <f t="array" ref="H87">_xlfn.IFS(G87 &gt; 0,"Positive", G87 &lt; 0, "Negative", G87 = 0, "First Order")</f>
        <v>Negative</v>
      </c>
    </row>
    <row r="88" spans="1:8" x14ac:dyDescent="0.35">
      <c r="A88" t="s">
        <v>35</v>
      </c>
      <c r="B88">
        <v>10186</v>
      </c>
      <c r="C88" s="1">
        <v>37939</v>
      </c>
      <c r="D88">
        <v>1</v>
      </c>
      <c r="E88">
        <v>22275.73</v>
      </c>
      <c r="F88">
        <v>0</v>
      </c>
      <c r="G88">
        <v>0</v>
      </c>
      <c r="H88" t="str" cm="1">
        <f t="array" ref="H88">_xlfn.IFS(G88 &gt; 0,"Positive", G88 &lt; 0, "Negative", G88 = 0, "First Order")</f>
        <v>First Order</v>
      </c>
    </row>
    <row r="89" spans="1:8" x14ac:dyDescent="0.35">
      <c r="A89" t="s">
        <v>35</v>
      </c>
      <c r="B89">
        <v>10213</v>
      </c>
      <c r="C89" s="1">
        <v>38008</v>
      </c>
      <c r="D89">
        <v>2</v>
      </c>
      <c r="E89">
        <v>7310.42</v>
      </c>
      <c r="F89">
        <v>22275.73</v>
      </c>
      <c r="G89">
        <v>-14965.31</v>
      </c>
      <c r="H89" t="str" cm="1">
        <f t="array" ref="H89">_xlfn.IFS(G89 &gt; 0,"Positive", G89 &lt; 0, "Negative", G89 = 0, "First Order")</f>
        <v>Negative</v>
      </c>
    </row>
    <row r="90" spans="1:8" x14ac:dyDescent="0.35">
      <c r="A90" t="s">
        <v>36</v>
      </c>
      <c r="B90">
        <v>10132</v>
      </c>
      <c r="C90" s="1">
        <v>37797</v>
      </c>
      <c r="D90">
        <v>1</v>
      </c>
      <c r="E90">
        <v>2880</v>
      </c>
      <c r="F90">
        <v>0</v>
      </c>
      <c r="G90">
        <v>0</v>
      </c>
      <c r="H90" t="str" cm="1">
        <f t="array" ref="H90">_xlfn.IFS(G90 &gt; 0,"Positive", G90 &lt; 0, "Negative", G90 = 0, "First Order")</f>
        <v>First Order</v>
      </c>
    </row>
    <row r="91" spans="1:8" x14ac:dyDescent="0.35">
      <c r="A91" t="s">
        <v>36</v>
      </c>
      <c r="B91">
        <v>10254</v>
      </c>
      <c r="C91" s="1">
        <v>38141</v>
      </c>
      <c r="D91">
        <v>2</v>
      </c>
      <c r="E91">
        <v>37281.360000000001</v>
      </c>
      <c r="F91">
        <v>2880</v>
      </c>
      <c r="G91">
        <v>34401.360000000001</v>
      </c>
      <c r="H91" t="str" cm="1">
        <f t="array" ref="H91">_xlfn.IFS(G91 &gt; 0,"Positive", G91 &lt; 0, "Negative", G91 = 0, "First Order")</f>
        <v>Positive</v>
      </c>
    </row>
    <row r="92" spans="1:8" x14ac:dyDescent="0.35">
      <c r="A92" t="s">
        <v>36</v>
      </c>
      <c r="B92">
        <v>10354</v>
      </c>
      <c r="C92" s="1">
        <v>38325</v>
      </c>
      <c r="D92">
        <v>3</v>
      </c>
      <c r="E92">
        <v>39440.589999999997</v>
      </c>
      <c r="F92">
        <v>37281.360000000001</v>
      </c>
      <c r="G92">
        <v>2159.23</v>
      </c>
      <c r="H92" t="str" cm="1">
        <f t="array" ref="H92">_xlfn.IFS(G92 &gt; 0,"Positive", G92 &lt; 0, "Negative", G92 = 0, "First Order")</f>
        <v>Positive</v>
      </c>
    </row>
    <row r="93" spans="1:8" x14ac:dyDescent="0.35">
      <c r="A93" t="s">
        <v>36</v>
      </c>
      <c r="B93">
        <v>10393</v>
      </c>
      <c r="C93" s="1">
        <v>38422</v>
      </c>
      <c r="D93">
        <v>4</v>
      </c>
      <c r="E93">
        <v>33593.32</v>
      </c>
      <c r="F93">
        <v>39440.589999999997</v>
      </c>
      <c r="G93">
        <v>-5847.27</v>
      </c>
      <c r="H93" t="str" cm="1">
        <f t="array" ref="H93">_xlfn.IFS(G93 &gt; 0,"Positive", G93 &lt; 0, "Negative", G93 = 0, "First Order")</f>
        <v>Negative</v>
      </c>
    </row>
    <row r="94" spans="1:8" x14ac:dyDescent="0.35">
      <c r="A94" t="s">
        <v>36</v>
      </c>
      <c r="B94">
        <v>10404</v>
      </c>
      <c r="C94" s="1">
        <v>38450</v>
      </c>
      <c r="D94">
        <v>5</v>
      </c>
      <c r="E94">
        <v>41426.81</v>
      </c>
      <c r="F94">
        <v>33593.32</v>
      </c>
      <c r="G94">
        <v>7833.49</v>
      </c>
      <c r="H94" t="str" cm="1">
        <f t="array" ref="H94">_xlfn.IFS(G94 &gt; 0,"Positive", G94 &lt; 0, "Negative", G94 = 0, "First Order")</f>
        <v>Positive</v>
      </c>
    </row>
    <row r="95" spans="1:8" x14ac:dyDescent="0.35">
      <c r="A95" t="s">
        <v>37</v>
      </c>
      <c r="B95">
        <v>10117</v>
      </c>
      <c r="C95" s="1">
        <v>37727</v>
      </c>
      <c r="D95">
        <v>1</v>
      </c>
      <c r="E95">
        <v>44380.15</v>
      </c>
      <c r="F95">
        <v>0</v>
      </c>
      <c r="G95">
        <v>0</v>
      </c>
      <c r="H95" t="str" cm="1">
        <f t="array" ref="H95">_xlfn.IFS(G95 &gt; 0,"Positive", G95 &lt; 0, "Negative", G95 = 0, "First Order")</f>
        <v>First Order</v>
      </c>
    </row>
    <row r="96" spans="1:8" x14ac:dyDescent="0.35">
      <c r="A96" t="s">
        <v>37</v>
      </c>
      <c r="B96">
        <v>10150</v>
      </c>
      <c r="C96" s="1">
        <v>37883</v>
      </c>
      <c r="D96">
        <v>2</v>
      </c>
      <c r="E96">
        <v>38350.15</v>
      </c>
      <c r="F96">
        <v>44380.15</v>
      </c>
      <c r="G96">
        <v>-6030</v>
      </c>
      <c r="H96" t="str" cm="1">
        <f t="array" ref="H96">_xlfn.IFS(G96 &gt; 0,"Positive", G96 &lt; 0, "Negative", G96 = 0, "First Order")</f>
        <v>Negative</v>
      </c>
    </row>
    <row r="97" spans="1:8" x14ac:dyDescent="0.35">
      <c r="A97" t="s">
        <v>37</v>
      </c>
      <c r="B97">
        <v>10165</v>
      </c>
      <c r="C97" s="1">
        <v>37916</v>
      </c>
      <c r="D97">
        <v>3</v>
      </c>
      <c r="E97">
        <v>67392.850000000006</v>
      </c>
      <c r="F97">
        <v>38350.15</v>
      </c>
      <c r="G97">
        <v>29042.7</v>
      </c>
      <c r="H97" t="str" cm="1">
        <f t="array" ref="H97">_xlfn.IFS(G97 &gt; 0,"Positive", G97 &lt; 0, "Negative", G97 = 0, "First Order")</f>
        <v>Positive</v>
      </c>
    </row>
    <row r="98" spans="1:8" x14ac:dyDescent="0.35">
      <c r="A98" t="s">
        <v>37</v>
      </c>
      <c r="B98">
        <v>10277</v>
      </c>
      <c r="C98" s="1">
        <v>38203</v>
      </c>
      <c r="D98">
        <v>4</v>
      </c>
      <c r="E98">
        <v>2611.84</v>
      </c>
      <c r="F98">
        <v>67392.850000000006</v>
      </c>
      <c r="G98">
        <v>-64781.01</v>
      </c>
      <c r="H98" t="str" cm="1">
        <f t="array" ref="H98">_xlfn.IFS(G98 &gt; 0,"Positive", G98 &lt; 0, "Negative", G98 = 0, "First Order")</f>
        <v>Negative</v>
      </c>
    </row>
    <row r="99" spans="1:8" x14ac:dyDescent="0.35">
      <c r="A99" t="s">
        <v>37</v>
      </c>
      <c r="B99">
        <v>10387</v>
      </c>
      <c r="C99" s="1">
        <v>38413</v>
      </c>
      <c r="D99">
        <v>5</v>
      </c>
      <c r="E99">
        <v>3516.04</v>
      </c>
      <c r="F99">
        <v>2611.84</v>
      </c>
      <c r="G99">
        <v>904.2</v>
      </c>
      <c r="H99" t="str" cm="1">
        <f t="array" ref="H99">_xlfn.IFS(G99 &gt; 0,"Positive", G99 &lt; 0, "Negative", G99 = 0, "First Order")</f>
        <v>Positive</v>
      </c>
    </row>
    <row r="100" spans="1:8" x14ac:dyDescent="0.35">
      <c r="A100" t="s">
        <v>38</v>
      </c>
      <c r="B100">
        <v>10118</v>
      </c>
      <c r="C100" s="1">
        <v>37732</v>
      </c>
      <c r="D100">
        <v>1</v>
      </c>
      <c r="E100">
        <v>3101.4</v>
      </c>
      <c r="F100">
        <v>0</v>
      </c>
      <c r="G100">
        <v>0</v>
      </c>
      <c r="H100" t="str" cm="1">
        <f t="array" ref="H100">_xlfn.IFS(G100 &gt; 0,"Positive", G100 &lt; 0, "Negative", G100 = 0, "First Order")</f>
        <v>First Order</v>
      </c>
    </row>
    <row r="101" spans="1:8" x14ac:dyDescent="0.35">
      <c r="A101" t="s">
        <v>38</v>
      </c>
      <c r="B101">
        <v>10197</v>
      </c>
      <c r="C101" s="1">
        <v>37951</v>
      </c>
      <c r="D101">
        <v>2</v>
      </c>
      <c r="E101">
        <v>40473.86</v>
      </c>
      <c r="F101">
        <v>3101.4</v>
      </c>
      <c r="G101">
        <v>37372.46</v>
      </c>
      <c r="H101" t="str" cm="1">
        <f t="array" ref="H101">_xlfn.IFS(G101 &gt; 0,"Positive", G101 &lt; 0, "Negative", G101 = 0, "First Order")</f>
        <v>Positive</v>
      </c>
    </row>
    <row r="102" spans="1:8" x14ac:dyDescent="0.35">
      <c r="A102" t="s">
        <v>38</v>
      </c>
      <c r="B102">
        <v>10340</v>
      </c>
      <c r="C102" s="1">
        <v>38315</v>
      </c>
      <c r="D102">
        <v>3</v>
      </c>
      <c r="E102">
        <v>24945.21</v>
      </c>
      <c r="F102">
        <v>40473.86</v>
      </c>
      <c r="G102">
        <v>-15528.65</v>
      </c>
      <c r="H102" t="str" cm="1">
        <f t="array" ref="H102">_xlfn.IFS(G102 &gt; 0,"Positive", G102 &lt; 0, "Negative", G102 = 0, "First Order")</f>
        <v>Negative</v>
      </c>
    </row>
    <row r="103" spans="1:8" x14ac:dyDescent="0.35">
      <c r="A103" t="s">
        <v>39</v>
      </c>
      <c r="B103">
        <v>10104</v>
      </c>
      <c r="C103" s="1">
        <v>37652</v>
      </c>
      <c r="D103">
        <v>1</v>
      </c>
      <c r="E103">
        <v>40206.199999999997</v>
      </c>
      <c r="F103">
        <v>0</v>
      </c>
      <c r="G103">
        <v>0</v>
      </c>
      <c r="H103" t="str" cm="1">
        <f t="array" ref="H103">_xlfn.IFS(G103 &gt; 0,"Positive", G103 &lt; 0, "Negative", G103 = 0, "First Order")</f>
        <v>First Order</v>
      </c>
    </row>
    <row r="104" spans="1:8" x14ac:dyDescent="0.35">
      <c r="A104" t="s">
        <v>39</v>
      </c>
      <c r="B104">
        <v>10128</v>
      </c>
      <c r="C104" s="1">
        <v>37778</v>
      </c>
      <c r="D104">
        <v>2</v>
      </c>
      <c r="E104">
        <v>13884.99</v>
      </c>
      <c r="F104">
        <v>40206.199999999997</v>
      </c>
      <c r="G104">
        <v>-26321.21</v>
      </c>
      <c r="H104" t="str" cm="1">
        <f t="array" ref="H104">_xlfn.IFS(G104 &gt; 0,"Positive", G104 &lt; 0, "Negative", G104 = 0, "First Order")</f>
        <v>Negative</v>
      </c>
    </row>
    <row r="105" spans="1:8" x14ac:dyDescent="0.35">
      <c r="A105" t="s">
        <v>39</v>
      </c>
      <c r="B105">
        <v>10133</v>
      </c>
      <c r="C105" s="1">
        <v>37799</v>
      </c>
      <c r="D105">
        <v>3</v>
      </c>
      <c r="E105">
        <v>22366.04</v>
      </c>
      <c r="F105">
        <v>13884.99</v>
      </c>
      <c r="G105">
        <v>8481.0499999999993</v>
      </c>
      <c r="H105" t="str" cm="1">
        <f t="array" ref="H105">_xlfn.IFS(G105 &gt; 0,"Positive", G105 &lt; 0, "Negative", G105 = 0, "First Order")</f>
        <v>Positive</v>
      </c>
    </row>
    <row r="106" spans="1:8" x14ac:dyDescent="0.35">
      <c r="A106" t="s">
        <v>39</v>
      </c>
      <c r="B106">
        <v>10153</v>
      </c>
      <c r="C106" s="1">
        <v>37892</v>
      </c>
      <c r="D106">
        <v>4</v>
      </c>
      <c r="E106">
        <v>44939.85</v>
      </c>
      <c r="F106">
        <v>22366.04</v>
      </c>
      <c r="G106">
        <v>22573.81</v>
      </c>
      <c r="H106" t="str" cm="1">
        <f t="array" ref="H106">_xlfn.IFS(G106 &gt; 0,"Positive", G106 &lt; 0, "Negative", G106 = 0, "First Order")</f>
        <v>Positive</v>
      </c>
    </row>
    <row r="107" spans="1:8" x14ac:dyDescent="0.35">
      <c r="A107" t="s">
        <v>39</v>
      </c>
      <c r="B107">
        <v>10156</v>
      </c>
      <c r="C107" s="1">
        <v>37902</v>
      </c>
      <c r="D107">
        <v>5</v>
      </c>
      <c r="E107">
        <v>4599.5200000000004</v>
      </c>
      <c r="F107">
        <v>44939.85</v>
      </c>
      <c r="G107">
        <v>-40340.33</v>
      </c>
      <c r="H107" t="str" cm="1">
        <f t="array" ref="H107">_xlfn.IFS(G107 &gt; 0,"Positive", G107 &lt; 0, "Negative", G107 = 0, "First Order")</f>
        <v>Negative</v>
      </c>
    </row>
    <row r="108" spans="1:8" x14ac:dyDescent="0.35">
      <c r="A108" t="s">
        <v>39</v>
      </c>
      <c r="B108">
        <v>10190</v>
      </c>
      <c r="C108" s="1">
        <v>37944</v>
      </c>
      <c r="D108">
        <v>6</v>
      </c>
      <c r="E108">
        <v>10721.86</v>
      </c>
      <c r="F108">
        <v>4599.5200000000004</v>
      </c>
      <c r="G108">
        <v>6122.34</v>
      </c>
      <c r="H108" t="str" cm="1">
        <f t="array" ref="H108">_xlfn.IFS(G108 &gt; 0,"Positive", G108 &lt; 0, "Negative", G108 = 0, "First Order")</f>
        <v>Positive</v>
      </c>
    </row>
    <row r="109" spans="1:8" x14ac:dyDescent="0.35">
      <c r="A109" t="s">
        <v>39</v>
      </c>
      <c r="B109">
        <v>10203</v>
      </c>
      <c r="C109" s="1">
        <v>37957</v>
      </c>
      <c r="D109">
        <v>7</v>
      </c>
      <c r="E109">
        <v>40062.53</v>
      </c>
      <c r="F109">
        <v>10721.86</v>
      </c>
      <c r="G109">
        <v>29340.67</v>
      </c>
      <c r="H109" t="str" cm="1">
        <f t="array" ref="H109">_xlfn.IFS(G109 &gt; 0,"Positive", G109 &lt; 0, "Negative", G109 = 0, "First Order")</f>
        <v>Positive</v>
      </c>
    </row>
    <row r="110" spans="1:8" x14ac:dyDescent="0.35">
      <c r="A110" t="s">
        <v>39</v>
      </c>
      <c r="B110">
        <v>10205</v>
      </c>
      <c r="C110" s="1">
        <v>37958</v>
      </c>
      <c r="D110">
        <v>8</v>
      </c>
      <c r="E110">
        <v>13059.16</v>
      </c>
      <c r="F110">
        <v>40062.53</v>
      </c>
      <c r="G110">
        <v>-27003.37</v>
      </c>
      <c r="H110" t="str" cm="1">
        <f t="array" ref="H110">_xlfn.IFS(G110 &gt; 0,"Positive", G110 &lt; 0, "Negative", G110 = 0, "First Order")</f>
        <v>Negative</v>
      </c>
    </row>
    <row r="111" spans="1:8" x14ac:dyDescent="0.35">
      <c r="A111" t="s">
        <v>39</v>
      </c>
      <c r="B111">
        <v>10212</v>
      </c>
      <c r="C111" s="1">
        <v>38002</v>
      </c>
      <c r="D111">
        <v>9</v>
      </c>
      <c r="E111">
        <v>59830.55</v>
      </c>
      <c r="F111">
        <v>13059.16</v>
      </c>
      <c r="G111">
        <v>46771.39</v>
      </c>
      <c r="H111" t="str" cm="1">
        <f t="array" ref="H111">_xlfn.IFS(G111 &gt; 0,"Positive", G111 &lt; 0, "Negative", G111 = 0, "First Order")</f>
        <v>Positive</v>
      </c>
    </row>
    <row r="112" spans="1:8" x14ac:dyDescent="0.35">
      <c r="A112" t="s">
        <v>39</v>
      </c>
      <c r="B112">
        <v>10244</v>
      </c>
      <c r="C112" s="1">
        <v>38106</v>
      </c>
      <c r="D112">
        <v>10</v>
      </c>
      <c r="E112">
        <v>26155.91</v>
      </c>
      <c r="F112">
        <v>59830.55</v>
      </c>
      <c r="G112">
        <v>-33674.639999999999</v>
      </c>
      <c r="H112" t="str" cm="1">
        <f t="array" ref="H112">_xlfn.IFS(G112 &gt; 0,"Positive", G112 &lt; 0, "Negative", G112 = 0, "First Order")</f>
        <v>Negative</v>
      </c>
    </row>
    <row r="113" spans="1:8" x14ac:dyDescent="0.35">
      <c r="A113" t="s">
        <v>39</v>
      </c>
      <c r="B113">
        <v>10246</v>
      </c>
      <c r="C113" s="1">
        <v>38112</v>
      </c>
      <c r="D113">
        <v>11</v>
      </c>
      <c r="E113">
        <v>35420.74</v>
      </c>
      <c r="F113">
        <v>26155.91</v>
      </c>
      <c r="G113">
        <v>9264.83</v>
      </c>
      <c r="H113" t="str" cm="1">
        <f t="array" ref="H113">_xlfn.IFS(G113 &gt; 0,"Positive", G113 &lt; 0, "Negative", G113 = 0, "First Order")</f>
        <v>Positive</v>
      </c>
    </row>
    <row r="114" spans="1:8" x14ac:dyDescent="0.35">
      <c r="A114" t="s">
        <v>39</v>
      </c>
      <c r="B114">
        <v>10262</v>
      </c>
      <c r="C114" s="1">
        <v>38162</v>
      </c>
      <c r="D114">
        <v>12</v>
      </c>
      <c r="E114">
        <v>47065.36</v>
      </c>
      <c r="F114">
        <v>35420.74</v>
      </c>
      <c r="G114">
        <v>11644.62</v>
      </c>
      <c r="H114" t="str" cm="1">
        <f t="array" ref="H114">_xlfn.IFS(G114 &gt; 0,"Positive", G114 &lt; 0, "Negative", G114 = 0, "First Order")</f>
        <v>Positive</v>
      </c>
    </row>
    <row r="115" spans="1:8" x14ac:dyDescent="0.35">
      <c r="A115" t="s">
        <v>39</v>
      </c>
      <c r="B115">
        <v>10279</v>
      </c>
      <c r="C115" s="1">
        <v>38208</v>
      </c>
      <c r="D115">
        <v>13</v>
      </c>
      <c r="E115">
        <v>20009.53</v>
      </c>
      <c r="F115">
        <v>47065.36</v>
      </c>
      <c r="G115">
        <v>-27055.83</v>
      </c>
      <c r="H115" t="str" cm="1">
        <f t="array" ref="H115">_xlfn.IFS(G115 &gt; 0,"Positive", G115 &lt; 0, "Negative", G115 = 0, "First Order")</f>
        <v>Negative</v>
      </c>
    </row>
    <row r="116" spans="1:8" x14ac:dyDescent="0.35">
      <c r="A116" t="s">
        <v>39</v>
      </c>
      <c r="B116">
        <v>10311</v>
      </c>
      <c r="C116" s="1">
        <v>38276</v>
      </c>
      <c r="D116">
        <v>14</v>
      </c>
      <c r="E116">
        <v>36140.379999999997</v>
      </c>
      <c r="F116">
        <v>20009.53</v>
      </c>
      <c r="G116">
        <v>16130.85</v>
      </c>
      <c r="H116" t="str" cm="1">
        <f t="array" ref="H116">_xlfn.IFS(G116 &gt; 0,"Positive", G116 &lt; 0, "Negative", G116 = 0, "First Order")</f>
        <v>Positive</v>
      </c>
    </row>
    <row r="117" spans="1:8" x14ac:dyDescent="0.35">
      <c r="A117" t="s">
        <v>39</v>
      </c>
      <c r="B117">
        <v>10350</v>
      </c>
      <c r="C117" s="1">
        <v>38323</v>
      </c>
      <c r="D117">
        <v>15</v>
      </c>
      <c r="E117">
        <v>46493.16</v>
      </c>
      <c r="F117">
        <v>36140.379999999997</v>
      </c>
      <c r="G117">
        <v>10352.780000000001</v>
      </c>
      <c r="H117" t="str" cm="1">
        <f t="array" ref="H117">_xlfn.IFS(G117 &gt; 0,"Positive", G117 &lt; 0, "Negative", G117 = 0, "First Order")</f>
        <v>Positive</v>
      </c>
    </row>
    <row r="118" spans="1:8" x14ac:dyDescent="0.35">
      <c r="A118" t="s">
        <v>39</v>
      </c>
      <c r="B118">
        <v>10355</v>
      </c>
      <c r="C118" s="1">
        <v>38328</v>
      </c>
      <c r="D118">
        <v>16</v>
      </c>
      <c r="E118">
        <v>25529.78</v>
      </c>
      <c r="F118">
        <v>46493.16</v>
      </c>
      <c r="G118">
        <v>-20963.38</v>
      </c>
      <c r="H118" t="str" cm="1">
        <f t="array" ref="H118">_xlfn.IFS(G118 &gt; 0,"Positive", G118 &lt; 0, "Negative", G118 = 0, "First Order")</f>
        <v>Negative</v>
      </c>
    </row>
    <row r="119" spans="1:8" x14ac:dyDescent="0.35">
      <c r="A119" t="s">
        <v>39</v>
      </c>
      <c r="B119">
        <v>10358</v>
      </c>
      <c r="C119" s="1">
        <v>38331</v>
      </c>
      <c r="D119">
        <v>17</v>
      </c>
      <c r="E119">
        <v>44185.46</v>
      </c>
      <c r="F119">
        <v>25529.78</v>
      </c>
      <c r="G119">
        <v>18655.68</v>
      </c>
      <c r="H119" t="str" cm="1">
        <f t="array" ref="H119">_xlfn.IFS(G119 &gt; 0,"Positive", G119 &lt; 0, "Negative", G119 = 0, "First Order")</f>
        <v>Positive</v>
      </c>
    </row>
    <row r="120" spans="1:8" x14ac:dyDescent="0.35">
      <c r="A120" t="s">
        <v>39</v>
      </c>
      <c r="B120">
        <v>10379</v>
      </c>
      <c r="C120" s="1">
        <v>38393</v>
      </c>
      <c r="D120">
        <v>18</v>
      </c>
      <c r="E120">
        <v>16621.27</v>
      </c>
      <c r="F120">
        <v>44185.46</v>
      </c>
      <c r="G120">
        <v>-27564.19</v>
      </c>
      <c r="H120" t="str" cm="1">
        <f t="array" ref="H120">_xlfn.IFS(G120 &gt; 0,"Positive", G120 &lt; 0, "Negative", G120 = 0, "First Order")</f>
        <v>Negative</v>
      </c>
    </row>
    <row r="121" spans="1:8" x14ac:dyDescent="0.35">
      <c r="A121" t="s">
        <v>39</v>
      </c>
      <c r="B121">
        <v>10378</v>
      </c>
      <c r="C121" s="1">
        <v>38393</v>
      </c>
      <c r="D121">
        <v>19</v>
      </c>
      <c r="E121">
        <v>32289.119999999999</v>
      </c>
      <c r="F121">
        <v>16621.27</v>
      </c>
      <c r="G121">
        <v>15667.85</v>
      </c>
      <c r="H121" t="str" cm="1">
        <f t="array" ref="H121">_xlfn.IFS(G121 &gt; 0,"Positive", G121 &lt; 0, "Negative", G121 = 0, "First Order")</f>
        <v>Positive</v>
      </c>
    </row>
    <row r="122" spans="1:8" x14ac:dyDescent="0.35">
      <c r="A122" t="s">
        <v>39</v>
      </c>
      <c r="B122">
        <v>10380</v>
      </c>
      <c r="C122" s="1">
        <v>38399</v>
      </c>
      <c r="D122">
        <v>20</v>
      </c>
      <c r="E122">
        <v>34404.21</v>
      </c>
      <c r="F122">
        <v>32289.119999999999</v>
      </c>
      <c r="G122">
        <v>2115.09</v>
      </c>
      <c r="H122" t="str" cm="1">
        <f t="array" ref="H122">_xlfn.IFS(G122 &gt; 0,"Positive", G122 &lt; 0, "Negative", G122 = 0, "First Order")</f>
        <v>Positive</v>
      </c>
    </row>
    <row r="123" spans="1:8" x14ac:dyDescent="0.35">
      <c r="A123" t="s">
        <v>39</v>
      </c>
      <c r="B123">
        <v>10383</v>
      </c>
      <c r="C123" s="1">
        <v>38405</v>
      </c>
      <c r="D123">
        <v>21</v>
      </c>
      <c r="E123">
        <v>36851.980000000003</v>
      </c>
      <c r="F123">
        <v>34404.21</v>
      </c>
      <c r="G123">
        <v>2447.77</v>
      </c>
      <c r="H123" t="str" cm="1">
        <f t="array" ref="H123">_xlfn.IFS(G123 &gt; 0,"Positive", G123 &lt; 0, "Negative", G123 = 0, "First Order")</f>
        <v>Positive</v>
      </c>
    </row>
    <row r="124" spans="1:8" x14ac:dyDescent="0.35">
      <c r="A124" t="s">
        <v>39</v>
      </c>
      <c r="B124">
        <v>10386</v>
      </c>
      <c r="C124" s="1">
        <v>38412</v>
      </c>
      <c r="D124">
        <v>22</v>
      </c>
      <c r="E124">
        <v>46968.52</v>
      </c>
      <c r="F124">
        <v>36851.980000000003</v>
      </c>
      <c r="G124">
        <v>10116.540000000001</v>
      </c>
      <c r="H124" t="str" cm="1">
        <f t="array" ref="H124">_xlfn.IFS(G124 &gt; 0,"Positive", G124 &lt; 0, "Negative", G124 = 0, "First Order")</f>
        <v>Positive</v>
      </c>
    </row>
    <row r="125" spans="1:8" x14ac:dyDescent="0.35">
      <c r="A125" t="s">
        <v>39</v>
      </c>
      <c r="B125">
        <v>10394</v>
      </c>
      <c r="C125" s="1">
        <v>38426</v>
      </c>
      <c r="D125">
        <v>23</v>
      </c>
      <c r="E125">
        <v>18102.740000000002</v>
      </c>
      <c r="F125">
        <v>46968.52</v>
      </c>
      <c r="G125">
        <v>-28865.78</v>
      </c>
      <c r="H125" t="str" cm="1">
        <f t="array" ref="H125">_xlfn.IFS(G125 &gt; 0,"Positive", G125 &lt; 0, "Negative", G125 = 0, "First Order")</f>
        <v>Negative</v>
      </c>
    </row>
    <row r="126" spans="1:8" x14ac:dyDescent="0.35">
      <c r="A126" t="s">
        <v>39</v>
      </c>
      <c r="B126">
        <v>10412</v>
      </c>
      <c r="C126" s="1">
        <v>38475</v>
      </c>
      <c r="D126">
        <v>24</v>
      </c>
      <c r="E126">
        <v>46895.48</v>
      </c>
      <c r="F126">
        <v>18102.740000000002</v>
      </c>
      <c r="G126">
        <v>28792.74</v>
      </c>
      <c r="H126" t="str" cm="1">
        <f t="array" ref="H126">_xlfn.IFS(G126 &gt; 0,"Positive", G126 &lt; 0, "Negative", G126 = 0, "First Order")</f>
        <v>Positive</v>
      </c>
    </row>
    <row r="127" spans="1:8" x14ac:dyDescent="0.35">
      <c r="A127" t="s">
        <v>39</v>
      </c>
      <c r="B127">
        <v>10417</v>
      </c>
      <c r="C127" s="1">
        <v>38485</v>
      </c>
      <c r="D127">
        <v>25</v>
      </c>
      <c r="E127">
        <v>28574.9</v>
      </c>
      <c r="F127">
        <v>46895.48</v>
      </c>
      <c r="G127">
        <v>-18320.580000000002</v>
      </c>
      <c r="H127" t="str" cm="1">
        <f t="array" ref="H127">_xlfn.IFS(G127 &gt; 0,"Positive", G127 &lt; 0, "Negative", G127 = 0, "First Order")</f>
        <v>Negative</v>
      </c>
    </row>
    <row r="128" spans="1:8" x14ac:dyDescent="0.35">
      <c r="A128" t="s">
        <v>39</v>
      </c>
      <c r="B128">
        <v>10424</v>
      </c>
      <c r="C128" s="1">
        <v>38503</v>
      </c>
      <c r="D128">
        <v>26</v>
      </c>
      <c r="E128">
        <v>29310.3</v>
      </c>
      <c r="F128">
        <v>28574.9</v>
      </c>
      <c r="G128">
        <v>735.4</v>
      </c>
      <c r="H128" t="str" cm="1">
        <f t="array" ref="H128">_xlfn.IFS(G128 &gt; 0,"Positive", G128 &lt; 0, "Negative", G128 = 0, "First Order")</f>
        <v>Positive</v>
      </c>
    </row>
    <row r="129" spans="1:8" x14ac:dyDescent="0.35">
      <c r="A129" t="s">
        <v>40</v>
      </c>
      <c r="B129">
        <v>10234</v>
      </c>
      <c r="C129" s="1">
        <v>38076</v>
      </c>
      <c r="D129">
        <v>1</v>
      </c>
      <c r="E129">
        <v>31670.37</v>
      </c>
      <c r="F129">
        <v>0</v>
      </c>
      <c r="G129">
        <v>0</v>
      </c>
      <c r="H129" t="str" cm="1">
        <f t="array" ref="H129">_xlfn.IFS(G129 &gt; 0,"Positive", G129 &lt; 0, "Negative", G129 = 0, "First Order")</f>
        <v>First Order</v>
      </c>
    </row>
    <row r="130" spans="1:8" x14ac:dyDescent="0.35">
      <c r="A130" t="s">
        <v>40</v>
      </c>
      <c r="B130">
        <v>10268</v>
      </c>
      <c r="C130" s="1">
        <v>38180</v>
      </c>
      <c r="D130">
        <v>2</v>
      </c>
      <c r="E130">
        <v>35034.57</v>
      </c>
      <c r="F130">
        <v>31670.37</v>
      </c>
      <c r="G130">
        <v>3364.2</v>
      </c>
      <c r="H130" t="str" cm="1">
        <f t="array" ref="H130">_xlfn.IFS(G130 &gt; 0,"Positive", G130 &lt; 0, "Negative", G130 = 0, "First Order")</f>
        <v>Positive</v>
      </c>
    </row>
    <row r="131" spans="1:8" x14ac:dyDescent="0.35">
      <c r="A131" t="s">
        <v>40</v>
      </c>
      <c r="B131">
        <v>10418</v>
      </c>
      <c r="C131" s="1">
        <v>38488</v>
      </c>
      <c r="D131">
        <v>3</v>
      </c>
      <c r="E131">
        <v>23627.439999999999</v>
      </c>
      <c r="F131">
        <v>35034.57</v>
      </c>
      <c r="G131">
        <v>-11407.13</v>
      </c>
      <c r="H131" t="str" cm="1">
        <f t="array" ref="H131">_xlfn.IFS(G131 &gt; 0,"Positive", G131 &lt; 0, "Negative", G131 = 0, "First Order")</f>
        <v>Negative</v>
      </c>
    </row>
    <row r="132" spans="1:8" x14ac:dyDescent="0.35">
      <c r="A132" t="s">
        <v>41</v>
      </c>
      <c r="B132">
        <v>10157</v>
      </c>
      <c r="C132" s="1">
        <v>37903</v>
      </c>
      <c r="D132">
        <v>1</v>
      </c>
      <c r="E132">
        <v>17746.259999999998</v>
      </c>
      <c r="F132">
        <v>0</v>
      </c>
      <c r="G132">
        <v>0</v>
      </c>
      <c r="H132" t="str" cm="1">
        <f t="array" ref="H132">_xlfn.IFS(G132 &gt; 0,"Positive", G132 &lt; 0, "Negative", G132 = 0, "First Order")</f>
        <v>First Order</v>
      </c>
    </row>
    <row r="133" spans="1:8" x14ac:dyDescent="0.35">
      <c r="A133" t="s">
        <v>41</v>
      </c>
      <c r="B133">
        <v>10218</v>
      </c>
      <c r="C133" s="1">
        <v>38026</v>
      </c>
      <c r="D133">
        <v>2</v>
      </c>
      <c r="E133">
        <v>7612.06</v>
      </c>
      <c r="F133">
        <v>17746.259999999998</v>
      </c>
      <c r="G133">
        <v>-10134.200000000001</v>
      </c>
      <c r="H133" t="str" cm="1">
        <f t="array" ref="H133">_xlfn.IFS(G133 &gt; 0,"Positive", G133 &lt; 0, "Negative", G133 = 0, "First Order")</f>
        <v>Negative</v>
      </c>
    </row>
    <row r="134" spans="1:8" x14ac:dyDescent="0.35">
      <c r="A134" t="s">
        <v>42</v>
      </c>
      <c r="B134">
        <v>10166</v>
      </c>
      <c r="C134" s="1">
        <v>37915</v>
      </c>
      <c r="D134">
        <v>1</v>
      </c>
      <c r="E134">
        <v>9977.85</v>
      </c>
      <c r="F134">
        <v>0</v>
      </c>
      <c r="G134">
        <v>0</v>
      </c>
      <c r="H134" t="str" cm="1">
        <f t="array" ref="H134">_xlfn.IFS(G134 &gt; 0,"Positive", G134 &lt; 0, "Negative", G134 = 0, "First Order")</f>
        <v>First Order</v>
      </c>
    </row>
    <row r="135" spans="1:8" x14ac:dyDescent="0.35">
      <c r="A135" t="s">
        <v>42</v>
      </c>
      <c r="B135">
        <v>10321</v>
      </c>
      <c r="C135" s="1">
        <v>38295</v>
      </c>
      <c r="D135">
        <v>2</v>
      </c>
      <c r="E135">
        <v>48355.87</v>
      </c>
      <c r="F135">
        <v>9977.85</v>
      </c>
      <c r="G135">
        <v>38378.019999999997</v>
      </c>
      <c r="H135" t="str" cm="1">
        <f t="array" ref="H135">_xlfn.IFS(G135 &gt; 0,"Positive", G135 &lt; 0, "Negative", G135 = 0, "First Order")</f>
        <v>Positive</v>
      </c>
    </row>
    <row r="136" spans="1:8" x14ac:dyDescent="0.35">
      <c r="A136" t="s">
        <v>42</v>
      </c>
      <c r="B136">
        <v>10388</v>
      </c>
      <c r="C136" s="1">
        <v>38414</v>
      </c>
      <c r="D136">
        <v>3</v>
      </c>
      <c r="E136">
        <v>30293.77</v>
      </c>
      <c r="F136">
        <v>48355.87</v>
      </c>
      <c r="G136">
        <v>-18062.099999999999</v>
      </c>
      <c r="H136" t="str" cm="1">
        <f t="array" ref="H136">_xlfn.IFS(G136 &gt; 0,"Positive", G136 &lt; 0, "Negative", G136 = 0, "First Order")</f>
        <v>Negative</v>
      </c>
    </row>
    <row r="137" spans="1:8" x14ac:dyDescent="0.35">
      <c r="A137" t="s">
        <v>43</v>
      </c>
      <c r="B137">
        <v>10172</v>
      </c>
      <c r="C137" s="1">
        <v>37930</v>
      </c>
      <c r="D137">
        <v>1</v>
      </c>
      <c r="E137">
        <v>24879.08</v>
      </c>
      <c r="F137">
        <v>0</v>
      </c>
      <c r="G137">
        <v>0</v>
      </c>
      <c r="H137" t="str" cm="1">
        <f t="array" ref="H137">_xlfn.IFS(G137 &gt; 0,"Positive", G137 &lt; 0, "Negative", G137 = 0, "First Order")</f>
        <v>First Order</v>
      </c>
    </row>
    <row r="138" spans="1:8" x14ac:dyDescent="0.35">
      <c r="A138" t="s">
        <v>43</v>
      </c>
      <c r="B138">
        <v>10263</v>
      </c>
      <c r="C138" s="1">
        <v>38166</v>
      </c>
      <c r="D138">
        <v>2</v>
      </c>
      <c r="E138">
        <v>42044.77</v>
      </c>
      <c r="F138">
        <v>24879.08</v>
      </c>
      <c r="G138">
        <v>17165.689999999999</v>
      </c>
      <c r="H138" t="str" cm="1">
        <f t="array" ref="H138">_xlfn.IFS(G138 &gt; 0,"Positive", G138 &lt; 0, "Negative", G138 = 0, "First Order")</f>
        <v>Positive</v>
      </c>
    </row>
    <row r="139" spans="1:8" x14ac:dyDescent="0.35">
      <c r="A139" t="s">
        <v>43</v>
      </c>
      <c r="B139">
        <v>10413</v>
      </c>
      <c r="C139" s="1">
        <v>38477</v>
      </c>
      <c r="D139">
        <v>3</v>
      </c>
      <c r="E139">
        <v>28500.78</v>
      </c>
      <c r="F139">
        <v>42044.77</v>
      </c>
      <c r="G139">
        <v>-13543.99</v>
      </c>
      <c r="H139" t="str" cm="1">
        <f t="array" ref="H139">_xlfn.IFS(G139 &gt; 0,"Positive", G139 &lt; 0, "Negative", G139 = 0, "First Order")</f>
        <v>Negative</v>
      </c>
    </row>
    <row r="140" spans="1:8" x14ac:dyDescent="0.35">
      <c r="A140" t="s">
        <v>44</v>
      </c>
      <c r="B140">
        <v>10131</v>
      </c>
      <c r="C140" s="1">
        <v>37788</v>
      </c>
      <c r="D140">
        <v>1</v>
      </c>
      <c r="E140">
        <v>17032.29</v>
      </c>
      <c r="F140">
        <v>0</v>
      </c>
      <c r="G140">
        <v>0</v>
      </c>
      <c r="H140" t="str" cm="1">
        <f t="array" ref="H140">_xlfn.IFS(G140 &gt; 0,"Positive", G140 &lt; 0, "Negative", G140 = 0, "First Order")</f>
        <v>First Order</v>
      </c>
    </row>
    <row r="141" spans="1:8" x14ac:dyDescent="0.35">
      <c r="A141" t="s">
        <v>44</v>
      </c>
      <c r="B141">
        <v>10146</v>
      </c>
      <c r="C141" s="1">
        <v>37867</v>
      </c>
      <c r="D141">
        <v>2</v>
      </c>
      <c r="E141">
        <v>6631.36</v>
      </c>
      <c r="F141">
        <v>17032.29</v>
      </c>
      <c r="G141">
        <v>-10400.93</v>
      </c>
      <c r="H141" t="str" cm="1">
        <f t="array" ref="H141">_xlfn.IFS(G141 &gt; 0,"Positive", G141 &lt; 0, "Negative", G141 = 0, "First Order")</f>
        <v>Negative</v>
      </c>
    </row>
    <row r="142" spans="1:8" x14ac:dyDescent="0.35">
      <c r="A142" t="s">
        <v>44</v>
      </c>
      <c r="B142">
        <v>10353</v>
      </c>
      <c r="C142" s="1">
        <v>38325</v>
      </c>
      <c r="D142">
        <v>3</v>
      </c>
      <c r="E142">
        <v>26304.13</v>
      </c>
      <c r="F142">
        <v>6631.36</v>
      </c>
      <c r="G142">
        <v>19672.77</v>
      </c>
      <c r="H142" t="str" cm="1">
        <f t="array" ref="H142">_xlfn.IFS(G142 &gt; 0,"Positive", G142 &lt; 0, "Negative", G142 = 0, "First Order")</f>
        <v>Positive</v>
      </c>
    </row>
    <row r="143" spans="1:8" x14ac:dyDescent="0.35">
      <c r="A143" t="s">
        <v>45</v>
      </c>
      <c r="B143">
        <v>10264</v>
      </c>
      <c r="C143" s="1">
        <v>38168</v>
      </c>
      <c r="D143">
        <v>1</v>
      </c>
      <c r="E143">
        <v>18473.71</v>
      </c>
      <c r="F143">
        <v>0</v>
      </c>
      <c r="G143">
        <v>0</v>
      </c>
      <c r="H143" t="str" cm="1">
        <f t="array" ref="H143">_xlfn.IFS(G143 &gt; 0,"Positive", G143 &lt; 0, "Negative", G143 = 0, "First Order")</f>
        <v>First Order</v>
      </c>
    </row>
    <row r="144" spans="1:8" x14ac:dyDescent="0.35">
      <c r="A144" t="s">
        <v>45</v>
      </c>
      <c r="B144">
        <v>10295</v>
      </c>
      <c r="C144" s="1">
        <v>38240</v>
      </c>
      <c r="D144">
        <v>2</v>
      </c>
      <c r="E144">
        <v>15059.76</v>
      </c>
      <c r="F144">
        <v>18473.71</v>
      </c>
      <c r="G144">
        <v>-3413.95</v>
      </c>
      <c r="H144" t="str" cm="1">
        <f t="array" ref="H144">_xlfn.IFS(G144 &gt; 0,"Positive", G144 &lt; 0, "Negative", G144 = 0, "First Order")</f>
        <v>Negative</v>
      </c>
    </row>
    <row r="145" spans="1:8" x14ac:dyDescent="0.35">
      <c r="A145" t="s">
        <v>45</v>
      </c>
      <c r="B145">
        <v>10414</v>
      </c>
      <c r="C145" s="1">
        <v>38478</v>
      </c>
      <c r="D145">
        <v>3</v>
      </c>
      <c r="E145">
        <v>50806.85</v>
      </c>
      <c r="F145">
        <v>15059.76</v>
      </c>
      <c r="G145">
        <v>35747.089999999997</v>
      </c>
      <c r="H145" t="str" cm="1">
        <f t="array" ref="H145">_xlfn.IFS(G145 &gt; 0,"Positive", G145 &lt; 0, "Negative", G145 = 0, "First Order")</f>
        <v>Positive</v>
      </c>
    </row>
    <row r="146" spans="1:8" x14ac:dyDescent="0.35">
      <c r="A146" t="s">
        <v>46</v>
      </c>
      <c r="B146">
        <v>10232</v>
      </c>
      <c r="C146" s="1">
        <v>38066</v>
      </c>
      <c r="D146">
        <v>1</v>
      </c>
      <c r="E146">
        <v>24995.61</v>
      </c>
      <c r="F146">
        <v>0</v>
      </c>
      <c r="G146">
        <v>0</v>
      </c>
      <c r="H146" t="str" cm="1">
        <f t="array" ref="H146">_xlfn.IFS(G146 &gt; 0,"Positive", G146 &lt; 0, "Negative", G146 = 0, "First Order")</f>
        <v>First Order</v>
      </c>
    </row>
    <row r="147" spans="1:8" x14ac:dyDescent="0.35">
      <c r="A147" t="s">
        <v>46</v>
      </c>
      <c r="B147">
        <v>10316</v>
      </c>
      <c r="C147" s="1">
        <v>38292</v>
      </c>
      <c r="D147">
        <v>2</v>
      </c>
      <c r="E147">
        <v>46788.14</v>
      </c>
      <c r="F147">
        <v>24995.61</v>
      </c>
      <c r="G147">
        <v>21792.53</v>
      </c>
      <c r="H147" t="str" cm="1">
        <f t="array" ref="H147">_xlfn.IFS(G147 &gt; 0,"Positive", G147 &lt; 0, "Negative", G147 = 0, "First Order")</f>
        <v>Positive</v>
      </c>
    </row>
    <row r="148" spans="1:8" x14ac:dyDescent="0.35">
      <c r="A148" t="s">
        <v>47</v>
      </c>
      <c r="B148">
        <v>10202</v>
      </c>
      <c r="C148" s="1">
        <v>37957</v>
      </c>
      <c r="D148">
        <v>1</v>
      </c>
      <c r="E148">
        <v>20220.04</v>
      </c>
      <c r="F148">
        <v>0</v>
      </c>
      <c r="G148">
        <v>0</v>
      </c>
      <c r="H148" t="str" cm="1">
        <f t="array" ref="H148">_xlfn.IFS(G148 &gt; 0,"Positive", G148 &lt; 0, "Negative", G148 = 0, "First Order")</f>
        <v>First Order</v>
      </c>
    </row>
    <row r="149" spans="1:8" x14ac:dyDescent="0.35">
      <c r="A149" t="s">
        <v>47</v>
      </c>
      <c r="B149">
        <v>10260</v>
      </c>
      <c r="C149" s="1">
        <v>38154</v>
      </c>
      <c r="D149">
        <v>2</v>
      </c>
      <c r="E149">
        <v>37769.379999999997</v>
      </c>
      <c r="F149">
        <v>20220.04</v>
      </c>
      <c r="G149">
        <v>17549.34</v>
      </c>
      <c r="H149" t="str" cm="1">
        <f t="array" ref="H149">_xlfn.IFS(G149 &gt; 0,"Positive", G149 &lt; 0, "Negative", G149 = 0, "First Order")</f>
        <v>Positive</v>
      </c>
    </row>
    <row r="150" spans="1:8" x14ac:dyDescent="0.35">
      <c r="A150" t="s">
        <v>47</v>
      </c>
      <c r="B150">
        <v>10410</v>
      </c>
      <c r="C150" s="1">
        <v>38471</v>
      </c>
      <c r="D150">
        <v>3</v>
      </c>
      <c r="E150">
        <v>36442.339999999997</v>
      </c>
      <c r="F150">
        <v>37769.379999999997</v>
      </c>
      <c r="G150">
        <v>-1327.04</v>
      </c>
      <c r="H150" t="str" cm="1">
        <f t="array" ref="H150">_xlfn.IFS(G150 &gt; 0,"Positive", G150 &lt; 0, "Negative", G150 = 0, "First Order")</f>
        <v>Negative</v>
      </c>
    </row>
    <row r="151" spans="1:8" x14ac:dyDescent="0.35">
      <c r="A151" t="s">
        <v>48</v>
      </c>
      <c r="B151">
        <v>10217</v>
      </c>
      <c r="C151" s="1">
        <v>38021</v>
      </c>
      <c r="D151">
        <v>1</v>
      </c>
      <c r="E151">
        <v>22474.17</v>
      </c>
      <c r="F151">
        <v>0</v>
      </c>
      <c r="G151">
        <v>0</v>
      </c>
      <c r="H151" t="str" cm="1">
        <f t="array" ref="H151">_xlfn.IFS(G151 &gt; 0,"Positive", G151 &lt; 0, "Negative", G151 = 0, "First Order")</f>
        <v>First Order</v>
      </c>
    </row>
    <row r="152" spans="1:8" x14ac:dyDescent="0.35">
      <c r="A152" t="s">
        <v>48</v>
      </c>
      <c r="B152">
        <v>10259</v>
      </c>
      <c r="C152" s="1">
        <v>38153</v>
      </c>
      <c r="D152">
        <v>2</v>
      </c>
      <c r="E152">
        <v>44160.92</v>
      </c>
      <c r="F152">
        <v>22474.17</v>
      </c>
      <c r="G152">
        <v>21686.75</v>
      </c>
      <c r="H152" t="str" cm="1">
        <f t="array" ref="H152">_xlfn.IFS(G152 &gt; 0,"Positive", G152 &lt; 0, "Negative", G152 = 0, "First Order")</f>
        <v>Positive</v>
      </c>
    </row>
    <row r="153" spans="1:8" x14ac:dyDescent="0.35">
      <c r="A153" t="s">
        <v>48</v>
      </c>
      <c r="B153">
        <v>10288</v>
      </c>
      <c r="C153" s="1">
        <v>38231</v>
      </c>
      <c r="D153">
        <v>3</v>
      </c>
      <c r="E153">
        <v>38785.480000000003</v>
      </c>
      <c r="F153">
        <v>44160.92</v>
      </c>
      <c r="G153">
        <v>-5375.44</v>
      </c>
      <c r="H153" t="str" cm="1">
        <f t="array" ref="H153">_xlfn.IFS(G153 &gt; 0,"Positive", G153 &lt; 0, "Negative", G153 = 0, "First Order")</f>
        <v>Negative</v>
      </c>
    </row>
    <row r="154" spans="1:8" x14ac:dyDescent="0.35">
      <c r="A154" t="s">
        <v>48</v>
      </c>
      <c r="B154">
        <v>10409</v>
      </c>
      <c r="C154" s="1">
        <v>38465</v>
      </c>
      <c r="D154">
        <v>4</v>
      </c>
      <c r="E154">
        <v>2326.1799999999998</v>
      </c>
      <c r="F154">
        <v>38785.480000000003</v>
      </c>
      <c r="G154">
        <v>-36459.300000000003</v>
      </c>
      <c r="H154" t="str" cm="1">
        <f t="array" ref="H154">_xlfn.IFS(G154 &gt; 0,"Positive", G154 &lt; 0, "Negative", G154 = 0, "First Order")</f>
        <v>Negative</v>
      </c>
    </row>
    <row r="155" spans="1:8" x14ac:dyDescent="0.35">
      <c r="A155" t="s">
        <v>49</v>
      </c>
      <c r="B155">
        <v>10161</v>
      </c>
      <c r="C155" s="1">
        <v>37911</v>
      </c>
      <c r="D155">
        <v>1</v>
      </c>
      <c r="E155">
        <v>36164.46</v>
      </c>
      <c r="F155">
        <v>0</v>
      </c>
      <c r="G155">
        <v>0</v>
      </c>
      <c r="H155" t="str" cm="1">
        <f t="array" ref="H155">_xlfn.IFS(G155 &gt; 0,"Positive", G155 &lt; 0, "Negative", G155 = 0, "First Order")</f>
        <v>First Order</v>
      </c>
    </row>
    <row r="156" spans="1:8" x14ac:dyDescent="0.35">
      <c r="A156" t="s">
        <v>49</v>
      </c>
      <c r="B156">
        <v>10314</v>
      </c>
      <c r="C156" s="1">
        <v>38282</v>
      </c>
      <c r="D156">
        <v>2</v>
      </c>
      <c r="E156">
        <v>53745.34</v>
      </c>
      <c r="F156">
        <v>36164.46</v>
      </c>
      <c r="G156">
        <v>17580.88</v>
      </c>
      <c r="H156" t="str" cm="1">
        <f t="array" ref="H156">_xlfn.IFS(G156 &gt; 0,"Positive", G156 &lt; 0, "Negative", G156 = 0, "First Order")</f>
        <v>Positive</v>
      </c>
    </row>
    <row r="157" spans="1:8" x14ac:dyDescent="0.35">
      <c r="A157" t="s">
        <v>50</v>
      </c>
      <c r="B157">
        <v>10181</v>
      </c>
      <c r="C157" s="1">
        <v>37937</v>
      </c>
      <c r="D157">
        <v>1</v>
      </c>
      <c r="E157">
        <v>55069.55</v>
      </c>
      <c r="F157">
        <v>0</v>
      </c>
      <c r="G157">
        <v>0</v>
      </c>
      <c r="H157" t="str" cm="1">
        <f t="array" ref="H157">_xlfn.IFS(G157 &gt; 0,"Positive", G157 &lt; 0, "Negative", G157 = 0, "First Order")</f>
        <v>First Order</v>
      </c>
    </row>
    <row r="158" spans="1:8" x14ac:dyDescent="0.35">
      <c r="A158" t="s">
        <v>50</v>
      </c>
      <c r="B158">
        <v>10188</v>
      </c>
      <c r="C158" s="1">
        <v>37943</v>
      </c>
      <c r="D158">
        <v>2</v>
      </c>
      <c r="E158">
        <v>29954.91</v>
      </c>
      <c r="F158">
        <v>55069.55</v>
      </c>
      <c r="G158">
        <v>-25114.639999999999</v>
      </c>
      <c r="H158" t="str" cm="1">
        <f t="array" ref="H158">_xlfn.IFS(G158 &gt; 0,"Positive", G158 &lt; 0, "Negative", G158 = 0, "First Order")</f>
        <v>Negative</v>
      </c>
    </row>
    <row r="159" spans="1:8" x14ac:dyDescent="0.35">
      <c r="A159" t="s">
        <v>50</v>
      </c>
      <c r="B159">
        <v>10289</v>
      </c>
      <c r="C159" s="1">
        <v>38233</v>
      </c>
      <c r="D159">
        <v>3</v>
      </c>
      <c r="E159">
        <v>12538.01</v>
      </c>
      <c r="F159">
        <v>29954.91</v>
      </c>
      <c r="G159">
        <v>-17416.900000000001</v>
      </c>
      <c r="H159" t="str" cm="1">
        <f t="array" ref="H159">_xlfn.IFS(G159 &gt; 0,"Positive", G159 &lt; 0, "Negative", G159 = 0, "First Order")</f>
        <v>Negative</v>
      </c>
    </row>
    <row r="160" spans="1:8" x14ac:dyDescent="0.35">
      <c r="A160" t="s">
        <v>51</v>
      </c>
      <c r="B160">
        <v>10184</v>
      </c>
      <c r="C160" s="1">
        <v>37939</v>
      </c>
      <c r="D160">
        <v>1</v>
      </c>
      <c r="E160">
        <v>47513.19</v>
      </c>
      <c r="F160">
        <v>0</v>
      </c>
      <c r="G160">
        <v>0</v>
      </c>
      <c r="H160" t="str" cm="1">
        <f t="array" ref="H160">_xlfn.IFS(G160 &gt; 0,"Positive", G160 &lt; 0, "Negative", G160 = 0, "First Order")</f>
        <v>First Order</v>
      </c>
    </row>
    <row r="161" spans="1:8" x14ac:dyDescent="0.35">
      <c r="A161" t="s">
        <v>51</v>
      </c>
      <c r="B161">
        <v>10303</v>
      </c>
      <c r="C161" s="1">
        <v>38266</v>
      </c>
      <c r="D161">
        <v>2</v>
      </c>
      <c r="E161">
        <v>3474.66</v>
      </c>
      <c r="F161">
        <v>47513.19</v>
      </c>
      <c r="G161">
        <v>-44038.53</v>
      </c>
      <c r="H161" t="str" cm="1">
        <f t="array" ref="H161">_xlfn.IFS(G161 &gt; 0,"Positive", G161 &lt; 0, "Negative", G161 = 0, "First Order")</f>
        <v>Negative</v>
      </c>
    </row>
    <row r="162" spans="1:8" x14ac:dyDescent="0.35">
      <c r="A162" t="s">
        <v>52</v>
      </c>
      <c r="B162">
        <v>10138</v>
      </c>
      <c r="C162" s="1">
        <v>37809</v>
      </c>
      <c r="D162">
        <v>1</v>
      </c>
      <c r="E162">
        <v>32077.439999999999</v>
      </c>
      <c r="F162">
        <v>0</v>
      </c>
      <c r="G162">
        <v>0</v>
      </c>
      <c r="H162" t="str" cm="1">
        <f t="array" ref="H162">_xlfn.IFS(G162 &gt; 0,"Positive", G162 &lt; 0, "Negative", G162 = 0, "First Order")</f>
        <v>First Order</v>
      </c>
    </row>
    <row r="163" spans="1:8" x14ac:dyDescent="0.35">
      <c r="A163" t="s">
        <v>52</v>
      </c>
      <c r="B163">
        <v>10179</v>
      </c>
      <c r="C163" s="1">
        <v>37936</v>
      </c>
      <c r="D163">
        <v>2</v>
      </c>
      <c r="E163">
        <v>22963.599999999999</v>
      </c>
      <c r="F163">
        <v>32077.439999999999</v>
      </c>
      <c r="G163">
        <v>-9113.84</v>
      </c>
      <c r="H163" t="str" cm="1">
        <f t="array" ref="H163">_xlfn.IFS(G163 &gt; 0,"Positive", G163 &lt; 0, "Negative", G163 = 0, "First Order")</f>
        <v>Negative</v>
      </c>
    </row>
    <row r="164" spans="1:8" x14ac:dyDescent="0.35">
      <c r="A164" t="s">
        <v>52</v>
      </c>
      <c r="B164">
        <v>10360</v>
      </c>
      <c r="C164" s="1">
        <v>38337</v>
      </c>
      <c r="D164">
        <v>3</v>
      </c>
      <c r="E164">
        <v>52166</v>
      </c>
      <c r="F164">
        <v>22963.599999999999</v>
      </c>
      <c r="G164">
        <v>29202.400000000001</v>
      </c>
      <c r="H164" t="str" cm="1">
        <f t="array" ref="H164">_xlfn.IFS(G164 &gt; 0,"Positive", G164 &lt; 0, "Negative", G164 = 0, "First Order")</f>
        <v>Positive</v>
      </c>
    </row>
    <row r="165" spans="1:8" x14ac:dyDescent="0.35">
      <c r="A165" t="s">
        <v>52</v>
      </c>
      <c r="B165">
        <v>10399</v>
      </c>
      <c r="C165" s="1">
        <v>38443</v>
      </c>
      <c r="D165">
        <v>4</v>
      </c>
      <c r="E165">
        <v>30253.75</v>
      </c>
      <c r="F165">
        <v>52166</v>
      </c>
      <c r="G165">
        <v>-21912.25</v>
      </c>
      <c r="H165" t="str" cm="1">
        <f t="array" ref="H165">_xlfn.IFS(G165 &gt; 0,"Positive", G165 &lt; 0, "Negative", G165 = 0, "First Order")</f>
        <v>Negative</v>
      </c>
    </row>
    <row r="166" spans="1:8" x14ac:dyDescent="0.35">
      <c r="A166" t="s">
        <v>53</v>
      </c>
      <c r="B166">
        <v>10187</v>
      </c>
      <c r="C166" s="1">
        <v>37940</v>
      </c>
      <c r="D166">
        <v>1</v>
      </c>
      <c r="E166">
        <v>28287.73</v>
      </c>
      <c r="F166">
        <v>0</v>
      </c>
      <c r="G166">
        <v>0</v>
      </c>
      <c r="H166" t="str" cm="1">
        <f t="array" ref="H166">_xlfn.IFS(G166 &gt; 0,"Positive", G166 &lt; 0, "Negative", G166 = 0, "First Order")</f>
        <v>First Order</v>
      </c>
    </row>
    <row r="167" spans="1:8" x14ac:dyDescent="0.35">
      <c r="A167" t="s">
        <v>53</v>
      </c>
      <c r="B167">
        <v>10200</v>
      </c>
      <c r="C167" s="1">
        <v>37956</v>
      </c>
      <c r="D167">
        <v>2</v>
      </c>
      <c r="E167">
        <v>17193.060000000001</v>
      </c>
      <c r="F167">
        <v>28287.73</v>
      </c>
      <c r="G167">
        <v>-11094.67</v>
      </c>
      <c r="H167" t="str" cm="1">
        <f t="array" ref="H167">_xlfn.IFS(G167 &gt; 0,"Positive", G167 &lt; 0, "Negative", G167 = 0, "First Order")</f>
        <v>Negative</v>
      </c>
    </row>
    <row r="168" spans="1:8" x14ac:dyDescent="0.35">
      <c r="A168" t="s">
        <v>54</v>
      </c>
      <c r="B168">
        <v>10176</v>
      </c>
      <c r="C168" s="1">
        <v>37931</v>
      </c>
      <c r="D168">
        <v>1</v>
      </c>
      <c r="E168">
        <v>38524.29</v>
      </c>
      <c r="F168">
        <v>0</v>
      </c>
      <c r="G168">
        <v>0</v>
      </c>
      <c r="H168" t="str" cm="1">
        <f t="array" ref="H168">_xlfn.IFS(G168 &gt; 0,"Positive", G168 &lt; 0, "Negative", G168 = 0, "First Order")</f>
        <v>First Order</v>
      </c>
    </row>
    <row r="169" spans="1:8" x14ac:dyDescent="0.35">
      <c r="A169" t="s">
        <v>54</v>
      </c>
      <c r="B169">
        <v>10266</v>
      </c>
      <c r="C169" s="1">
        <v>38174</v>
      </c>
      <c r="D169">
        <v>2</v>
      </c>
      <c r="E169">
        <v>51619.02</v>
      </c>
      <c r="F169">
        <v>38524.29</v>
      </c>
      <c r="G169">
        <v>13094.73</v>
      </c>
      <c r="H169" t="str" cm="1">
        <f t="array" ref="H169">_xlfn.IFS(G169 &gt; 0,"Positive", G169 &lt; 0, "Negative", G169 = 0, "First Order")</f>
        <v>Positive</v>
      </c>
    </row>
    <row r="170" spans="1:8" x14ac:dyDescent="0.35">
      <c r="A170" t="s">
        <v>54</v>
      </c>
      <c r="B170">
        <v>10416</v>
      </c>
      <c r="C170" s="1">
        <v>38482</v>
      </c>
      <c r="D170">
        <v>3</v>
      </c>
      <c r="E170">
        <v>35362.26</v>
      </c>
      <c r="F170">
        <v>51619.02</v>
      </c>
      <c r="G170">
        <v>-16256.76</v>
      </c>
      <c r="H170" t="str" cm="1">
        <f t="array" ref="H170">_xlfn.IFS(G170 &gt; 0,"Positive", G170 &lt; 0, "Negative", G170 = 0, "First Order")</f>
        <v>Negative</v>
      </c>
    </row>
    <row r="171" spans="1:8" x14ac:dyDescent="0.35">
      <c r="A171" t="s">
        <v>55</v>
      </c>
      <c r="B171">
        <v>10114</v>
      </c>
      <c r="C171" s="1">
        <v>37712</v>
      </c>
      <c r="D171">
        <v>1</v>
      </c>
      <c r="E171">
        <v>33383.14</v>
      </c>
      <c r="F171">
        <v>0</v>
      </c>
      <c r="G171">
        <v>0</v>
      </c>
      <c r="H171" t="str" cm="1">
        <f t="array" ref="H171">_xlfn.IFS(G171 &gt; 0,"Positive", G171 &lt; 0, "Negative", G171 = 0, "First Order")</f>
        <v>First Order</v>
      </c>
    </row>
    <row r="172" spans="1:8" x14ac:dyDescent="0.35">
      <c r="A172" t="s">
        <v>55</v>
      </c>
      <c r="B172">
        <v>10286</v>
      </c>
      <c r="C172" s="1">
        <v>38227</v>
      </c>
      <c r="D172">
        <v>2</v>
      </c>
      <c r="E172">
        <v>1960.8</v>
      </c>
      <c r="F172">
        <v>33383.14</v>
      </c>
      <c r="G172">
        <v>-31422.34</v>
      </c>
      <c r="H172" t="str" cm="1">
        <f t="array" ref="H172">_xlfn.IFS(G172 &gt; 0,"Positive", G172 &lt; 0, "Negative", G172 = 0, "First Order")</f>
        <v>Negative</v>
      </c>
    </row>
    <row r="173" spans="1:8" x14ac:dyDescent="0.35">
      <c r="A173" t="s">
        <v>55</v>
      </c>
      <c r="B173">
        <v>10336</v>
      </c>
      <c r="C173" s="1">
        <v>38311</v>
      </c>
      <c r="D173">
        <v>3</v>
      </c>
      <c r="E173">
        <v>51209.58</v>
      </c>
      <c r="F173">
        <v>1960.8</v>
      </c>
      <c r="G173">
        <v>49248.78</v>
      </c>
      <c r="H173" t="str" cm="1">
        <f t="array" ref="H173">_xlfn.IFS(G173 &gt; 0,"Positive", G173 &lt; 0, "Negative", G173 = 0, "First Order")</f>
        <v>Positive</v>
      </c>
    </row>
    <row r="174" spans="1:8" x14ac:dyDescent="0.35">
      <c r="A174" t="s">
        <v>56</v>
      </c>
      <c r="B174">
        <v>10275</v>
      </c>
      <c r="C174" s="1">
        <v>38191</v>
      </c>
      <c r="D174">
        <v>1</v>
      </c>
      <c r="E174">
        <v>47924.19</v>
      </c>
      <c r="F174">
        <v>0</v>
      </c>
      <c r="G174">
        <v>0</v>
      </c>
      <c r="H174" t="str" cm="1">
        <f t="array" ref="H174">_xlfn.IFS(G174 &gt; 0,"Positive", G174 &lt; 0, "Negative", G174 = 0, "First Order")</f>
        <v>First Order</v>
      </c>
    </row>
    <row r="175" spans="1:8" x14ac:dyDescent="0.35">
      <c r="A175" t="s">
        <v>56</v>
      </c>
      <c r="B175">
        <v>10315</v>
      </c>
      <c r="C175" s="1">
        <v>38289</v>
      </c>
      <c r="D175">
        <v>2</v>
      </c>
      <c r="E175">
        <v>19501.82</v>
      </c>
      <c r="F175">
        <v>47924.19</v>
      </c>
      <c r="G175">
        <v>-28422.37</v>
      </c>
      <c r="H175" t="str" cm="1">
        <f t="array" ref="H175">_xlfn.IFS(G175 &gt; 0,"Positive", G175 &lt; 0, "Negative", G175 = 0, "First Order")</f>
        <v>Negative</v>
      </c>
    </row>
    <row r="176" spans="1:8" x14ac:dyDescent="0.35">
      <c r="A176" t="s">
        <v>56</v>
      </c>
      <c r="B176">
        <v>10375</v>
      </c>
      <c r="C176" s="1">
        <v>38386</v>
      </c>
      <c r="D176">
        <v>3</v>
      </c>
      <c r="E176">
        <v>49523.67</v>
      </c>
      <c r="F176">
        <v>19501.82</v>
      </c>
      <c r="G176">
        <v>30021.85</v>
      </c>
      <c r="H176" t="str" cm="1">
        <f t="array" ref="H176">_xlfn.IFS(G176 &gt; 0,"Positive", G176 &lt; 0, "Negative", G176 = 0, "First Order")</f>
        <v>Positive</v>
      </c>
    </row>
    <row r="177" spans="1:8" x14ac:dyDescent="0.35">
      <c r="A177" t="s">
        <v>56</v>
      </c>
      <c r="B177">
        <v>10425</v>
      </c>
      <c r="C177" s="1">
        <v>38503</v>
      </c>
      <c r="D177">
        <v>4</v>
      </c>
      <c r="E177">
        <v>41623.440000000002</v>
      </c>
      <c r="F177">
        <v>49523.67</v>
      </c>
      <c r="G177">
        <v>-7900.23</v>
      </c>
      <c r="H177" t="str" cm="1">
        <f t="array" ref="H177">_xlfn.IFS(G177 &gt; 0,"Positive", G177 &lt; 0, "Negative", G177 = 0, "First Order")</f>
        <v>Negative</v>
      </c>
    </row>
    <row r="178" spans="1:8" x14ac:dyDescent="0.35">
      <c r="A178" t="s">
        <v>57</v>
      </c>
      <c r="B178">
        <v>10107</v>
      </c>
      <c r="C178" s="1">
        <v>37676</v>
      </c>
      <c r="D178">
        <v>1</v>
      </c>
      <c r="E178">
        <v>22292.62</v>
      </c>
      <c r="F178">
        <v>0</v>
      </c>
      <c r="G178">
        <v>0</v>
      </c>
      <c r="H178" t="str" cm="1">
        <f t="array" ref="H178">_xlfn.IFS(G178 &gt; 0,"Positive", G178 &lt; 0, "Negative", G178 = 0, "First Order")</f>
        <v>First Order</v>
      </c>
    </row>
    <row r="179" spans="1:8" x14ac:dyDescent="0.35">
      <c r="A179" t="s">
        <v>57</v>
      </c>
      <c r="B179">
        <v>10248</v>
      </c>
      <c r="C179" s="1">
        <v>38114</v>
      </c>
      <c r="D179">
        <v>2</v>
      </c>
      <c r="E179">
        <v>41445.21</v>
      </c>
      <c r="F179">
        <v>22292.62</v>
      </c>
      <c r="G179">
        <v>19152.59</v>
      </c>
      <c r="H179" t="str" cm="1">
        <f t="array" ref="H179">_xlfn.IFS(G179 &gt; 0,"Positive", G179 &lt; 0, "Negative", G179 = 0, "First Order")</f>
        <v>Positive</v>
      </c>
    </row>
    <row r="180" spans="1:8" x14ac:dyDescent="0.35">
      <c r="A180" t="s">
        <v>57</v>
      </c>
      <c r="B180">
        <v>10292</v>
      </c>
      <c r="C180" s="1">
        <v>38238</v>
      </c>
      <c r="D180">
        <v>3</v>
      </c>
      <c r="E180">
        <v>35321.97</v>
      </c>
      <c r="F180">
        <v>41445.21</v>
      </c>
      <c r="G180">
        <v>-6123.24</v>
      </c>
      <c r="H180" t="str" cm="1">
        <f t="array" ref="H180">_xlfn.IFS(G180 &gt; 0,"Positive", G180 &lt; 0, "Negative", G180 = 0, "First Order")</f>
        <v>Negative</v>
      </c>
    </row>
    <row r="181" spans="1:8" x14ac:dyDescent="0.35">
      <c r="A181" t="s">
        <v>57</v>
      </c>
      <c r="B181">
        <v>10329</v>
      </c>
      <c r="C181" s="1">
        <v>38306</v>
      </c>
      <c r="D181">
        <v>4</v>
      </c>
      <c r="E181">
        <v>50025.35</v>
      </c>
      <c r="F181">
        <v>35321.97</v>
      </c>
      <c r="G181">
        <v>14703.38</v>
      </c>
      <c r="H181" t="str" cm="1">
        <f t="array" ref="H181">_xlfn.IFS(G181 &gt; 0,"Positive", G181 &lt; 0, "Negative", G181 = 0, "First Order")</f>
        <v>Positive</v>
      </c>
    </row>
    <row r="182" spans="1:8" x14ac:dyDescent="0.35">
      <c r="A182" t="s">
        <v>58</v>
      </c>
      <c r="B182">
        <v>10134</v>
      </c>
      <c r="C182" s="1">
        <v>37803</v>
      </c>
      <c r="D182">
        <v>1</v>
      </c>
      <c r="E182">
        <v>23419.47</v>
      </c>
      <c r="F182">
        <v>0</v>
      </c>
      <c r="G182">
        <v>0</v>
      </c>
      <c r="H182" t="str" cm="1">
        <f t="array" ref="H182">_xlfn.IFS(G182 &gt; 0,"Positive", G182 &lt; 0, "Negative", G182 = 0, "First Order")</f>
        <v>First Order</v>
      </c>
    </row>
    <row r="183" spans="1:8" x14ac:dyDescent="0.35">
      <c r="A183" t="s">
        <v>58</v>
      </c>
      <c r="B183">
        <v>10356</v>
      </c>
      <c r="C183" s="1">
        <v>38330</v>
      </c>
      <c r="D183">
        <v>2</v>
      </c>
      <c r="E183">
        <v>26311.63</v>
      </c>
      <c r="F183">
        <v>23419.47</v>
      </c>
      <c r="G183">
        <v>2892.16</v>
      </c>
      <c r="H183" t="str" cm="1">
        <f t="array" ref="H183">_xlfn.IFS(G183 &gt; 0,"Positive", G183 &lt; 0, "Negative", G183 = 0, "First Order")</f>
        <v>Positive</v>
      </c>
    </row>
    <row r="184" spans="1:8" x14ac:dyDescent="0.35">
      <c r="A184" t="s">
        <v>58</v>
      </c>
      <c r="B184">
        <v>10395</v>
      </c>
      <c r="C184" s="1">
        <v>38428</v>
      </c>
      <c r="D184">
        <v>3</v>
      </c>
      <c r="E184">
        <v>17928.09</v>
      </c>
      <c r="F184">
        <v>26311.63</v>
      </c>
      <c r="G184">
        <v>-8383.5400000000009</v>
      </c>
      <c r="H184" t="str" cm="1">
        <f t="array" ref="H184">_xlfn.IFS(G184 &gt; 0,"Positive", G184 &lt; 0, "Negative", G184 = 0, "First Order")</f>
        <v>Negative</v>
      </c>
    </row>
    <row r="185" spans="1:8" x14ac:dyDescent="0.35">
      <c r="A185" t="s">
        <v>59</v>
      </c>
      <c r="B185">
        <v>10122</v>
      </c>
      <c r="C185" s="1">
        <v>37749</v>
      </c>
      <c r="D185">
        <v>1</v>
      </c>
      <c r="E185">
        <v>50824.66</v>
      </c>
      <c r="F185">
        <v>0</v>
      </c>
      <c r="G185">
        <v>0</v>
      </c>
      <c r="H185" t="str" cm="1">
        <f t="array" ref="H185">_xlfn.IFS(G185 &gt; 0,"Positive", G185 &lt; 0, "Negative", G185 = 0, "First Order")</f>
        <v>First Order</v>
      </c>
    </row>
    <row r="186" spans="1:8" x14ac:dyDescent="0.35">
      <c r="A186" t="s">
        <v>59</v>
      </c>
      <c r="B186">
        <v>10344</v>
      </c>
      <c r="C186" s="1">
        <v>38316</v>
      </c>
      <c r="D186">
        <v>2</v>
      </c>
      <c r="E186">
        <v>18888.310000000001</v>
      </c>
      <c r="F186">
        <v>50824.66</v>
      </c>
      <c r="G186">
        <v>-31936.35</v>
      </c>
      <c r="H186" t="str" cm="1">
        <f t="array" ref="H186">_xlfn.IFS(G186 &gt; 0,"Positive", G186 &lt; 0, "Negative", G186 = 0, "First Order")</f>
        <v>Negative</v>
      </c>
    </row>
    <row r="187" spans="1:8" x14ac:dyDescent="0.35">
      <c r="A187" t="s">
        <v>59</v>
      </c>
      <c r="B187">
        <v>10364</v>
      </c>
      <c r="C187" s="1">
        <v>38358</v>
      </c>
      <c r="D187">
        <v>3</v>
      </c>
      <c r="E187">
        <v>1834.56</v>
      </c>
      <c r="F187">
        <v>18888.310000000001</v>
      </c>
      <c r="G187">
        <v>-17053.75</v>
      </c>
      <c r="H187" t="str" cm="1">
        <f t="array" ref="H187">_xlfn.IFS(G187 &gt; 0,"Positive", G187 &lt; 0, "Negative", G187 = 0, "First Order")</f>
        <v>Negative</v>
      </c>
    </row>
    <row r="188" spans="1:8" x14ac:dyDescent="0.35">
      <c r="A188" t="s">
        <v>60</v>
      </c>
      <c r="B188">
        <v>10285</v>
      </c>
      <c r="C188" s="1">
        <v>38226</v>
      </c>
      <c r="D188">
        <v>1</v>
      </c>
      <c r="E188">
        <v>43134.04</v>
      </c>
      <c r="F188">
        <v>0</v>
      </c>
      <c r="G188">
        <v>0</v>
      </c>
      <c r="H188" t="str" cm="1">
        <f t="array" ref="H188">_xlfn.IFS(G188 &gt; 0,"Positive", G188 &lt; 0, "Negative", G188 = 0, "First Order")</f>
        <v>First Order</v>
      </c>
    </row>
    <row r="189" spans="1:8" x14ac:dyDescent="0.35">
      <c r="A189" t="s">
        <v>60</v>
      </c>
      <c r="B189">
        <v>10305</v>
      </c>
      <c r="C189" s="1">
        <v>38273</v>
      </c>
      <c r="D189">
        <v>2</v>
      </c>
      <c r="E189">
        <v>47411.33</v>
      </c>
      <c r="F189">
        <v>43134.04</v>
      </c>
      <c r="G189">
        <v>4277.29</v>
      </c>
      <c r="H189" t="str" cm="1">
        <f t="array" ref="H189">_xlfn.IFS(G189 &gt; 0,"Positive", G189 &lt; 0, "Negative", G189 = 0, "First Order")</f>
        <v>Positive</v>
      </c>
    </row>
    <row r="190" spans="1:8" x14ac:dyDescent="0.35">
      <c r="A190" t="s">
        <v>61</v>
      </c>
      <c r="B190">
        <v>10160</v>
      </c>
      <c r="C190" s="1">
        <v>37905</v>
      </c>
      <c r="D190">
        <v>1</v>
      </c>
      <c r="E190">
        <v>20452.5</v>
      </c>
      <c r="F190">
        <v>0</v>
      </c>
      <c r="G190">
        <v>0</v>
      </c>
      <c r="H190" t="str" cm="1">
        <f t="array" ref="H190">_xlfn.IFS(G190 &gt; 0,"Positive", G190 &lt; 0, "Negative", G190 = 0, "First Order")</f>
        <v>First Order</v>
      </c>
    </row>
    <row r="191" spans="1:8" x14ac:dyDescent="0.35">
      <c r="A191" t="s">
        <v>61</v>
      </c>
      <c r="B191">
        <v>10209</v>
      </c>
      <c r="C191" s="1">
        <v>37995</v>
      </c>
      <c r="D191">
        <v>2</v>
      </c>
      <c r="E191">
        <v>21053.69</v>
      </c>
      <c r="F191">
        <v>20452.5</v>
      </c>
      <c r="G191">
        <v>601.19000000000005</v>
      </c>
      <c r="H191" t="str" cm="1">
        <f t="array" ref="H191">_xlfn.IFS(G191 &gt; 0,"Positive", G191 &lt; 0, "Negative", G191 = 0, "First Order")</f>
        <v>Positive</v>
      </c>
    </row>
    <row r="192" spans="1:8" x14ac:dyDescent="0.35">
      <c r="A192" t="s">
        <v>62</v>
      </c>
      <c r="B192">
        <v>10242</v>
      </c>
      <c r="C192" s="1">
        <v>38097</v>
      </c>
      <c r="D192">
        <v>1</v>
      </c>
      <c r="E192">
        <v>1679.92</v>
      </c>
      <c r="F192">
        <v>0</v>
      </c>
      <c r="G192">
        <v>0</v>
      </c>
      <c r="H192" t="str" cm="1">
        <f t="array" ref="H192">_xlfn.IFS(G192 &gt; 0,"Positive", G192 &lt; 0, "Negative", G192 = 0, "First Order")</f>
        <v>First Order</v>
      </c>
    </row>
    <row r="193" spans="1:8" x14ac:dyDescent="0.35">
      <c r="A193" t="s">
        <v>62</v>
      </c>
      <c r="B193">
        <v>10319</v>
      </c>
      <c r="C193" s="1">
        <v>38294</v>
      </c>
      <c r="D193">
        <v>2</v>
      </c>
      <c r="E193">
        <v>27550.51</v>
      </c>
      <c r="F193">
        <v>1679.92</v>
      </c>
      <c r="G193">
        <v>25870.59</v>
      </c>
      <c r="H193" t="str" cm="1">
        <f t="array" ref="H193">_xlfn.IFS(G193 &gt; 0,"Positive", G193 &lt; 0, "Negative", G193 = 0, "First Order")</f>
        <v>Positive</v>
      </c>
    </row>
    <row r="194" spans="1:8" x14ac:dyDescent="0.35">
      <c r="A194" t="s">
        <v>63</v>
      </c>
      <c r="B194">
        <v>10164</v>
      </c>
      <c r="C194" s="1">
        <v>37915</v>
      </c>
      <c r="D194">
        <v>1</v>
      </c>
      <c r="E194">
        <v>27121.9</v>
      </c>
      <c r="F194">
        <v>0</v>
      </c>
      <c r="G194">
        <v>0</v>
      </c>
      <c r="H194" t="str" cm="1">
        <f t="array" ref="H194">_xlfn.IFS(G194 &gt; 0,"Positive", G194 &lt; 0, "Negative", G194 = 0, "First Order")</f>
        <v>First Order</v>
      </c>
    </row>
    <row r="195" spans="1:8" x14ac:dyDescent="0.35">
      <c r="A195" t="s">
        <v>63</v>
      </c>
      <c r="B195">
        <v>10170</v>
      </c>
      <c r="C195" s="1">
        <v>37929</v>
      </c>
      <c r="D195">
        <v>2</v>
      </c>
      <c r="E195">
        <v>15130.97</v>
      </c>
      <c r="F195">
        <v>27121.9</v>
      </c>
      <c r="G195">
        <v>-11990.93</v>
      </c>
      <c r="H195" t="str" cm="1">
        <f t="array" ref="H195">_xlfn.IFS(G195 &gt; 0,"Positive", G195 &lt; 0, "Negative", G195 = 0, "First Order")</f>
        <v>Negative</v>
      </c>
    </row>
    <row r="196" spans="1:8" x14ac:dyDescent="0.35">
      <c r="A196" t="s">
        <v>63</v>
      </c>
      <c r="B196">
        <v>10392</v>
      </c>
      <c r="C196" s="1">
        <v>38421</v>
      </c>
      <c r="D196">
        <v>3</v>
      </c>
      <c r="E196">
        <v>8807.1200000000008</v>
      </c>
      <c r="F196">
        <v>15130.97</v>
      </c>
      <c r="G196">
        <v>-6323.85</v>
      </c>
      <c r="H196" t="str" cm="1">
        <f t="array" ref="H196">_xlfn.IFS(G196 &gt; 0,"Positive", G196 &lt; 0, "Negative", G196 = 0, "First Order")</f>
        <v>Negative</v>
      </c>
    </row>
    <row r="197" spans="1:8" x14ac:dyDescent="0.35">
      <c r="A197" t="s">
        <v>64</v>
      </c>
      <c r="B197">
        <v>10241</v>
      </c>
      <c r="C197" s="1">
        <v>38090</v>
      </c>
      <c r="D197">
        <v>1</v>
      </c>
      <c r="E197">
        <v>36069.26</v>
      </c>
      <c r="F197">
        <v>0</v>
      </c>
      <c r="G197">
        <v>0</v>
      </c>
      <c r="H197" t="str" cm="1">
        <f t="array" ref="H197">_xlfn.IFS(G197 &gt; 0,"Positive", G197 &lt; 0, "Negative", G197 = 0, "First Order")</f>
        <v>First Order</v>
      </c>
    </row>
    <row r="198" spans="1:8" x14ac:dyDescent="0.35">
      <c r="A198" t="s">
        <v>64</v>
      </c>
      <c r="B198">
        <v>10255</v>
      </c>
      <c r="C198" s="1">
        <v>38142</v>
      </c>
      <c r="D198">
        <v>2</v>
      </c>
      <c r="E198">
        <v>4632.3100000000004</v>
      </c>
      <c r="F198">
        <v>36069.26</v>
      </c>
      <c r="G198">
        <v>-31436.95</v>
      </c>
      <c r="H198" t="str" cm="1">
        <f t="array" ref="H198">_xlfn.IFS(G198 &gt; 0,"Positive", G198 &lt; 0, "Negative", G198 = 0, "First Order")</f>
        <v>Negative</v>
      </c>
    </row>
    <row r="199" spans="1:8" x14ac:dyDescent="0.35">
      <c r="A199" t="s">
        <v>64</v>
      </c>
      <c r="B199">
        <v>10405</v>
      </c>
      <c r="C199" s="1">
        <v>38456</v>
      </c>
      <c r="D199">
        <v>3</v>
      </c>
      <c r="E199">
        <v>35157.75</v>
      </c>
      <c r="F199">
        <v>4632.3100000000004</v>
      </c>
      <c r="G199">
        <v>30525.439999999999</v>
      </c>
      <c r="H199" t="str" cm="1">
        <f t="array" ref="H199">_xlfn.IFS(G199 &gt; 0,"Positive", G199 &lt; 0, "Negative", G199 = 0, "First Order")</f>
        <v>Positive</v>
      </c>
    </row>
    <row r="200" spans="1:8" x14ac:dyDescent="0.35">
      <c r="A200" t="s">
        <v>65</v>
      </c>
      <c r="B200">
        <v>10195</v>
      </c>
      <c r="C200" s="1">
        <v>37950</v>
      </c>
      <c r="D200">
        <v>1</v>
      </c>
      <c r="E200">
        <v>36092.400000000001</v>
      </c>
      <c r="F200">
        <v>0</v>
      </c>
      <c r="G200">
        <v>0</v>
      </c>
      <c r="H200" t="str" cm="1">
        <f t="array" ref="H200">_xlfn.IFS(G200 &gt; 0,"Positive", G200 &lt; 0, "Negative", G200 = 0, "First Order")</f>
        <v>First Order</v>
      </c>
    </row>
    <row r="201" spans="1:8" x14ac:dyDescent="0.35">
      <c r="A201" t="s">
        <v>65</v>
      </c>
      <c r="B201">
        <v>10308</v>
      </c>
      <c r="C201" s="1">
        <v>38275</v>
      </c>
      <c r="D201">
        <v>2</v>
      </c>
      <c r="E201">
        <v>42339.76</v>
      </c>
      <c r="F201">
        <v>36092.400000000001</v>
      </c>
      <c r="G201">
        <v>6247.36</v>
      </c>
      <c r="H201" t="str" cm="1">
        <f t="array" ref="H201">_xlfn.IFS(G201 &gt; 0,"Positive", G201 &lt; 0, "Negative", G201 = 0, "First Order")</f>
        <v>Positive</v>
      </c>
    </row>
    <row r="202" spans="1:8" x14ac:dyDescent="0.35">
      <c r="A202" t="s">
        <v>66</v>
      </c>
      <c r="B202">
        <v>10143</v>
      </c>
      <c r="C202" s="1">
        <v>37843</v>
      </c>
      <c r="D202">
        <v>1</v>
      </c>
      <c r="E202">
        <v>41016.75</v>
      </c>
      <c r="F202">
        <v>0</v>
      </c>
      <c r="G202">
        <v>0</v>
      </c>
      <c r="H202" t="str" cm="1">
        <f t="array" ref="H202">_xlfn.IFS(G202 &gt; 0,"Positive", G202 &lt; 0, "Negative", G202 = 0, "First Order")</f>
        <v>First Order</v>
      </c>
    </row>
    <row r="203" spans="1:8" x14ac:dyDescent="0.35">
      <c r="A203" t="s">
        <v>66</v>
      </c>
      <c r="B203">
        <v>10185</v>
      </c>
      <c r="C203" s="1">
        <v>37939</v>
      </c>
      <c r="D203">
        <v>2</v>
      </c>
      <c r="E203">
        <v>52548.49</v>
      </c>
      <c r="F203">
        <v>41016.75</v>
      </c>
      <c r="G203">
        <v>11531.74</v>
      </c>
      <c r="H203" t="str" cm="1">
        <f t="array" ref="H203">_xlfn.IFS(G203 &gt; 0,"Positive", G203 &lt; 0, "Negative", G203 = 0, "First Order")</f>
        <v>Positive</v>
      </c>
    </row>
    <row r="204" spans="1:8" x14ac:dyDescent="0.35">
      <c r="A204" t="s">
        <v>66</v>
      </c>
      <c r="B204">
        <v>10365</v>
      </c>
      <c r="C204" s="1">
        <v>38359</v>
      </c>
      <c r="D204">
        <v>3</v>
      </c>
      <c r="E204">
        <v>8307.2800000000007</v>
      </c>
      <c r="F204">
        <v>52548.49</v>
      </c>
      <c r="G204">
        <v>-44241.21</v>
      </c>
      <c r="H204" t="str" cm="1">
        <f t="array" ref="H204">_xlfn.IFS(G204 &gt; 0,"Positive", G204 &lt; 0, "Negative", G204 = 0, "First Order")</f>
        <v>Negative</v>
      </c>
    </row>
    <row r="205" spans="1:8" x14ac:dyDescent="0.35">
      <c r="A205" t="s">
        <v>67</v>
      </c>
      <c r="B205">
        <v>10113</v>
      </c>
      <c r="C205" s="1">
        <v>37706</v>
      </c>
      <c r="D205">
        <v>1</v>
      </c>
      <c r="E205">
        <v>11044.3</v>
      </c>
      <c r="F205">
        <v>0</v>
      </c>
      <c r="G205">
        <v>0</v>
      </c>
      <c r="H205" t="str" cm="1">
        <f t="array" ref="H205">_xlfn.IFS(G205 &gt; 0,"Positive", G205 &lt; 0, "Negative", G205 = 0, "First Order")</f>
        <v>First Order</v>
      </c>
    </row>
    <row r="206" spans="1:8" x14ac:dyDescent="0.35">
      <c r="A206" t="s">
        <v>67</v>
      </c>
      <c r="B206">
        <v>10135</v>
      </c>
      <c r="C206" s="1">
        <v>37804</v>
      </c>
      <c r="D206">
        <v>2</v>
      </c>
      <c r="E206">
        <v>55601.84</v>
      </c>
      <c r="F206">
        <v>11044.3</v>
      </c>
      <c r="G206">
        <v>44557.54</v>
      </c>
      <c r="H206" t="str" cm="1">
        <f t="array" ref="H206">_xlfn.IFS(G206 &gt; 0,"Positive", G206 &lt; 0, "Negative", G206 = 0, "First Order")</f>
        <v>Positive</v>
      </c>
    </row>
    <row r="207" spans="1:8" x14ac:dyDescent="0.35">
      <c r="A207" t="s">
        <v>67</v>
      </c>
      <c r="B207">
        <v>10142</v>
      </c>
      <c r="C207" s="1">
        <v>37841</v>
      </c>
      <c r="D207">
        <v>3</v>
      </c>
      <c r="E207">
        <v>56052.56</v>
      </c>
      <c r="F207">
        <v>55601.84</v>
      </c>
      <c r="G207">
        <v>450.72</v>
      </c>
      <c r="H207" t="str" cm="1">
        <f t="array" ref="H207">_xlfn.IFS(G207 &gt; 0,"Positive", G207 &lt; 0, "Negative", G207 = 0, "First Order")</f>
        <v>Positive</v>
      </c>
    </row>
    <row r="208" spans="1:8" x14ac:dyDescent="0.35">
      <c r="A208" t="s">
        <v>67</v>
      </c>
      <c r="B208">
        <v>10182</v>
      </c>
      <c r="C208" s="1">
        <v>37937</v>
      </c>
      <c r="D208">
        <v>4</v>
      </c>
      <c r="E208">
        <v>45084.38</v>
      </c>
      <c r="F208">
        <v>56052.56</v>
      </c>
      <c r="G208">
        <v>-10968.18</v>
      </c>
      <c r="H208" t="str" cm="1">
        <f t="array" ref="H208">_xlfn.IFS(G208 &gt; 0,"Positive", G208 &lt; 0, "Negative", G208 = 0, "First Order")</f>
        <v>Negative</v>
      </c>
    </row>
    <row r="209" spans="1:8" x14ac:dyDescent="0.35">
      <c r="A209" t="s">
        <v>67</v>
      </c>
      <c r="B209">
        <v>10229</v>
      </c>
      <c r="C209" s="1">
        <v>38057</v>
      </c>
      <c r="D209">
        <v>5</v>
      </c>
      <c r="E209">
        <v>43369.3</v>
      </c>
      <c r="F209">
        <v>45084.38</v>
      </c>
      <c r="G209">
        <v>-1715.08</v>
      </c>
      <c r="H209" t="str" cm="1">
        <f t="array" ref="H209">_xlfn.IFS(G209 &gt; 0,"Positive", G209 &lt; 0, "Negative", G209 = 0, "First Order")</f>
        <v>Negative</v>
      </c>
    </row>
    <row r="210" spans="1:8" x14ac:dyDescent="0.35">
      <c r="A210" t="s">
        <v>67</v>
      </c>
      <c r="B210">
        <v>10271</v>
      </c>
      <c r="C210" s="1">
        <v>38188</v>
      </c>
      <c r="D210">
        <v>6</v>
      </c>
      <c r="E210">
        <v>37430.89</v>
      </c>
      <c r="F210">
        <v>43369.3</v>
      </c>
      <c r="G210">
        <v>-5938.41</v>
      </c>
      <c r="H210" t="str" cm="1">
        <f t="array" ref="H210">_xlfn.IFS(G210 &gt; 0,"Positive", G210 &lt; 0, "Negative", G210 = 0, "First Order")</f>
        <v>Negative</v>
      </c>
    </row>
    <row r="211" spans="1:8" x14ac:dyDescent="0.35">
      <c r="A211" t="s">
        <v>67</v>
      </c>
      <c r="B211">
        <v>10282</v>
      </c>
      <c r="C211" s="1">
        <v>38219</v>
      </c>
      <c r="D211">
        <v>7</v>
      </c>
      <c r="E211">
        <v>47979.98</v>
      </c>
      <c r="F211">
        <v>37430.89</v>
      </c>
      <c r="G211">
        <v>10549.09</v>
      </c>
      <c r="H211" t="str" cm="1">
        <f t="array" ref="H211">_xlfn.IFS(G211 &gt; 0,"Positive", G211 &lt; 0, "Negative", G211 = 0, "First Order")</f>
        <v>Positive</v>
      </c>
    </row>
    <row r="212" spans="1:8" x14ac:dyDescent="0.35">
      <c r="A212" t="s">
        <v>67</v>
      </c>
      <c r="B212">
        <v>10312</v>
      </c>
      <c r="C212" s="1">
        <v>38281</v>
      </c>
      <c r="D212">
        <v>8</v>
      </c>
      <c r="E212">
        <v>55639.66</v>
      </c>
      <c r="F212">
        <v>47979.98</v>
      </c>
      <c r="G212">
        <v>7659.68</v>
      </c>
      <c r="H212" t="str" cm="1">
        <f t="array" ref="H212">_xlfn.IFS(G212 &gt; 0,"Positive", G212 &lt; 0, "Negative", G212 = 0, "First Order")</f>
        <v>Positive</v>
      </c>
    </row>
    <row r="213" spans="1:8" x14ac:dyDescent="0.35">
      <c r="A213" t="s">
        <v>67</v>
      </c>
      <c r="B213">
        <v>10335</v>
      </c>
      <c r="C213" s="1">
        <v>38310</v>
      </c>
      <c r="D213">
        <v>9</v>
      </c>
      <c r="E213">
        <v>6466.44</v>
      </c>
      <c r="F213">
        <v>55639.66</v>
      </c>
      <c r="G213">
        <v>-49173.22</v>
      </c>
      <c r="H213" t="str" cm="1">
        <f t="array" ref="H213">_xlfn.IFS(G213 &gt; 0,"Positive", G213 &lt; 0, "Negative", G213 = 0, "First Order")</f>
        <v>Negative</v>
      </c>
    </row>
    <row r="214" spans="1:8" x14ac:dyDescent="0.35">
      <c r="A214" t="s">
        <v>67</v>
      </c>
      <c r="B214">
        <v>10357</v>
      </c>
      <c r="C214" s="1">
        <v>38331</v>
      </c>
      <c r="D214">
        <v>10</v>
      </c>
      <c r="E214">
        <v>40676.26</v>
      </c>
      <c r="F214">
        <v>6466.44</v>
      </c>
      <c r="G214">
        <v>34209.82</v>
      </c>
      <c r="H214" t="str" cm="1">
        <f t="array" ref="H214">_xlfn.IFS(G214 &gt; 0,"Positive", G214 &lt; 0, "Negative", G214 = 0, "First Order")</f>
        <v>Positive</v>
      </c>
    </row>
    <row r="215" spans="1:8" x14ac:dyDescent="0.35">
      <c r="A215" t="s">
        <v>67</v>
      </c>
      <c r="B215">
        <v>10368</v>
      </c>
      <c r="C215" s="1">
        <v>38371</v>
      </c>
      <c r="D215">
        <v>11</v>
      </c>
      <c r="E215">
        <v>13874.75</v>
      </c>
      <c r="F215">
        <v>40676.26</v>
      </c>
      <c r="G215">
        <v>-26801.51</v>
      </c>
      <c r="H215" t="str" cm="1">
        <f t="array" ref="H215">_xlfn.IFS(G215 &gt; 0,"Positive", G215 &lt; 0, "Negative", G215 = 0, "First Order")</f>
        <v>Negative</v>
      </c>
    </row>
    <row r="216" spans="1:8" x14ac:dyDescent="0.35">
      <c r="A216" t="s">
        <v>67</v>
      </c>
      <c r="B216">
        <v>10371</v>
      </c>
      <c r="C216" s="1">
        <v>38375</v>
      </c>
      <c r="D216">
        <v>12</v>
      </c>
      <c r="E216">
        <v>35137.54</v>
      </c>
      <c r="F216">
        <v>13874.75</v>
      </c>
      <c r="G216">
        <v>21262.79</v>
      </c>
      <c r="H216" t="str" cm="1">
        <f t="array" ref="H216">_xlfn.IFS(G216 &gt; 0,"Positive", G216 &lt; 0, "Negative", G216 = 0, "First Order")</f>
        <v>Positive</v>
      </c>
    </row>
    <row r="217" spans="1:8" x14ac:dyDescent="0.35">
      <c r="A217" t="s">
        <v>67</v>
      </c>
      <c r="B217">
        <v>10382</v>
      </c>
      <c r="C217" s="1">
        <v>38400</v>
      </c>
      <c r="D217">
        <v>13</v>
      </c>
      <c r="E217">
        <v>47765.59</v>
      </c>
      <c r="F217">
        <v>35137.54</v>
      </c>
      <c r="G217">
        <v>12628.05</v>
      </c>
      <c r="H217" t="str" cm="1">
        <f t="array" ref="H217">_xlfn.IFS(G217 &gt; 0,"Positive", G217 &lt; 0, "Negative", G217 = 0, "First Order")</f>
        <v>Positive</v>
      </c>
    </row>
    <row r="218" spans="1:8" x14ac:dyDescent="0.35">
      <c r="A218" t="s">
        <v>67</v>
      </c>
      <c r="B218">
        <v>10385</v>
      </c>
      <c r="C218" s="1">
        <v>38411</v>
      </c>
      <c r="D218">
        <v>14</v>
      </c>
      <c r="E218">
        <v>4466.71</v>
      </c>
      <c r="F218">
        <v>47765.59</v>
      </c>
      <c r="G218">
        <v>-43298.879999999997</v>
      </c>
      <c r="H218" t="str" cm="1">
        <f t="array" ref="H218">_xlfn.IFS(G218 &gt; 0,"Positive", G218 &lt; 0, "Negative", G218 = 0, "First Order")</f>
        <v>Negative</v>
      </c>
    </row>
    <row r="219" spans="1:8" x14ac:dyDescent="0.35">
      <c r="A219" t="s">
        <v>67</v>
      </c>
      <c r="B219">
        <v>10390</v>
      </c>
      <c r="C219" s="1">
        <v>38415</v>
      </c>
      <c r="D219">
        <v>15</v>
      </c>
      <c r="E219">
        <v>55902.5</v>
      </c>
      <c r="F219">
        <v>4466.71</v>
      </c>
      <c r="G219">
        <v>51435.79</v>
      </c>
      <c r="H219" t="str" cm="1">
        <f t="array" ref="H219">_xlfn.IFS(G219 &gt; 0,"Positive", G219 &lt; 0, "Negative", G219 = 0, "First Order")</f>
        <v>Positive</v>
      </c>
    </row>
    <row r="220" spans="1:8" x14ac:dyDescent="0.35">
      <c r="A220" t="s">
        <v>67</v>
      </c>
      <c r="B220">
        <v>10396</v>
      </c>
      <c r="C220" s="1">
        <v>38434</v>
      </c>
      <c r="D220">
        <v>16</v>
      </c>
      <c r="E220">
        <v>27695.54</v>
      </c>
      <c r="F220">
        <v>55902.5</v>
      </c>
      <c r="G220">
        <v>-28206.959999999999</v>
      </c>
      <c r="H220" t="str" cm="1">
        <f t="array" ref="H220">_xlfn.IFS(G220 &gt; 0,"Positive", G220 &lt; 0, "Negative", G220 = 0, "First Order")</f>
        <v>Negative</v>
      </c>
    </row>
    <row r="221" spans="1:8" x14ac:dyDescent="0.35">
      <c r="A221" t="s">
        <v>67</v>
      </c>
      <c r="B221">
        <v>10421</v>
      </c>
      <c r="C221" s="1">
        <v>38501</v>
      </c>
      <c r="D221">
        <v>17</v>
      </c>
      <c r="E221">
        <v>7639.1</v>
      </c>
      <c r="F221">
        <v>27695.54</v>
      </c>
      <c r="G221">
        <v>-20056.439999999999</v>
      </c>
      <c r="H221" t="str" cm="1">
        <f t="array" ref="H221">_xlfn.IFS(G221 &gt; 0,"Positive", G221 &lt; 0, "Negative", G221 = 0, "First Order")</f>
        <v>Negative</v>
      </c>
    </row>
    <row r="222" spans="1:8" x14ac:dyDescent="0.35">
      <c r="A222" t="s">
        <v>68</v>
      </c>
      <c r="B222">
        <v>10111</v>
      </c>
      <c r="C222" s="1">
        <v>37705</v>
      </c>
      <c r="D222">
        <v>1</v>
      </c>
      <c r="E222">
        <v>16537.849999999999</v>
      </c>
      <c r="F222">
        <v>0</v>
      </c>
      <c r="G222">
        <v>0</v>
      </c>
      <c r="H222" t="str" cm="1">
        <f t="array" ref="H222">_xlfn.IFS(G222 &gt; 0,"Positive", G222 &lt; 0, "Negative", G222 = 0, "First Order")</f>
        <v>First Order</v>
      </c>
    </row>
    <row r="223" spans="1:8" x14ac:dyDescent="0.35">
      <c r="A223" t="s">
        <v>68</v>
      </c>
      <c r="B223">
        <v>10201</v>
      </c>
      <c r="C223" s="1">
        <v>37956</v>
      </c>
      <c r="D223">
        <v>2</v>
      </c>
      <c r="E223">
        <v>23923.93</v>
      </c>
      <c r="F223">
        <v>16537.849999999999</v>
      </c>
      <c r="G223">
        <v>7386.08</v>
      </c>
      <c r="H223" t="str" cm="1">
        <f t="array" ref="H223">_xlfn.IFS(G223 &gt; 0,"Positive", G223 &lt; 0, "Negative", G223 = 0, "First Order")</f>
        <v>Positive</v>
      </c>
    </row>
    <row r="224" spans="1:8" x14ac:dyDescent="0.35">
      <c r="A224" t="s">
        <v>68</v>
      </c>
      <c r="B224">
        <v>10333</v>
      </c>
      <c r="C224" s="1">
        <v>38309</v>
      </c>
      <c r="D224">
        <v>3</v>
      </c>
      <c r="E224">
        <v>26248.78</v>
      </c>
      <c r="F224">
        <v>23923.93</v>
      </c>
      <c r="G224">
        <v>2324.85</v>
      </c>
      <c r="H224" t="str" cm="1">
        <f t="array" ref="H224">_xlfn.IFS(G224 &gt; 0,"Positive", G224 &lt; 0, "Negative", G224 = 0, "First Order")</f>
        <v>Positive</v>
      </c>
    </row>
    <row r="225" spans="1:8" x14ac:dyDescent="0.35">
      <c r="A225" t="s">
        <v>69</v>
      </c>
      <c r="B225">
        <v>10109</v>
      </c>
      <c r="C225" s="1">
        <v>37690</v>
      </c>
      <c r="D225">
        <v>1</v>
      </c>
      <c r="E225">
        <v>25833.14</v>
      </c>
      <c r="F225">
        <v>0</v>
      </c>
      <c r="G225">
        <v>0</v>
      </c>
      <c r="H225" t="str" cm="1">
        <f t="array" ref="H225">_xlfn.IFS(G225 &gt; 0,"Positive", G225 &lt; 0, "Negative", G225 = 0, "First Order")</f>
        <v>First Order</v>
      </c>
    </row>
    <row r="226" spans="1:8" x14ac:dyDescent="0.35">
      <c r="A226" t="s">
        <v>69</v>
      </c>
      <c r="B226">
        <v>10236</v>
      </c>
      <c r="C226" s="1">
        <v>38080</v>
      </c>
      <c r="D226">
        <v>2</v>
      </c>
      <c r="E226">
        <v>5899.38</v>
      </c>
      <c r="F226">
        <v>25833.14</v>
      </c>
      <c r="G226">
        <v>-19933.759999999998</v>
      </c>
      <c r="H226" t="str" cm="1">
        <f t="array" ref="H226">_xlfn.IFS(G226 &gt; 0,"Positive", G226 &lt; 0, "Negative", G226 = 0, "First Order")</f>
        <v>Negative</v>
      </c>
    </row>
    <row r="227" spans="1:8" x14ac:dyDescent="0.35">
      <c r="A227" t="s">
        <v>69</v>
      </c>
      <c r="B227">
        <v>10331</v>
      </c>
      <c r="C227" s="1">
        <v>38308</v>
      </c>
      <c r="D227">
        <v>3</v>
      </c>
      <c r="E227">
        <v>45994.07</v>
      </c>
      <c r="F227">
        <v>5899.38</v>
      </c>
      <c r="G227">
        <v>40094.69</v>
      </c>
      <c r="H227" t="str" cm="1">
        <f t="array" ref="H227">_xlfn.IFS(G227 &gt; 0,"Positive", G227 &lt; 0, "Negative", G227 = 0, "First Order")</f>
        <v>Positive</v>
      </c>
    </row>
    <row r="228" spans="1:8" x14ac:dyDescent="0.35">
      <c r="A228" t="s">
        <v>70</v>
      </c>
      <c r="B228">
        <v>10127</v>
      </c>
      <c r="C228" s="1">
        <v>37775</v>
      </c>
      <c r="D228">
        <v>1</v>
      </c>
      <c r="E228">
        <v>58841.35</v>
      </c>
      <c r="F228">
        <v>0</v>
      </c>
      <c r="G228">
        <v>0</v>
      </c>
      <c r="H228" t="str" cm="1">
        <f t="array" ref="H228">_xlfn.IFS(G228 &gt; 0,"Positive", G228 &lt; 0, "Negative", G228 = 0, "First Order")</f>
        <v>First Order</v>
      </c>
    </row>
    <row r="229" spans="1:8" x14ac:dyDescent="0.35">
      <c r="A229" t="s">
        <v>70</v>
      </c>
      <c r="B229">
        <v>10204</v>
      </c>
      <c r="C229" s="1">
        <v>37957</v>
      </c>
      <c r="D229">
        <v>2</v>
      </c>
      <c r="E229">
        <v>58793.53</v>
      </c>
      <c r="F229">
        <v>58841.35</v>
      </c>
      <c r="G229">
        <v>-47.82</v>
      </c>
      <c r="H229" t="str" cm="1">
        <f t="array" ref="H229">_xlfn.IFS(G229 &gt; 0,"Positive", G229 &lt; 0, "Negative", G229 = 0, "First Order")</f>
        <v>Negative</v>
      </c>
    </row>
    <row r="230" spans="1:8" x14ac:dyDescent="0.35">
      <c r="A230" t="s">
        <v>70</v>
      </c>
      <c r="B230">
        <v>10267</v>
      </c>
      <c r="C230" s="1">
        <v>38175</v>
      </c>
      <c r="D230">
        <v>3</v>
      </c>
      <c r="E230">
        <v>20314.439999999999</v>
      </c>
      <c r="F230">
        <v>58793.53</v>
      </c>
      <c r="G230">
        <v>-38479.089999999997</v>
      </c>
      <c r="H230" t="str" cm="1">
        <f t="array" ref="H230">_xlfn.IFS(G230 &gt; 0,"Positive", G230 &lt; 0, "Negative", G230 = 0, "First Order")</f>
        <v>Negative</v>
      </c>
    </row>
    <row r="231" spans="1:8" x14ac:dyDescent="0.35">
      <c r="A231" t="s">
        <v>70</v>
      </c>
      <c r="B231">
        <v>10349</v>
      </c>
      <c r="C231" s="1">
        <v>38322</v>
      </c>
      <c r="D231">
        <v>4</v>
      </c>
      <c r="E231">
        <v>39964.629999999997</v>
      </c>
      <c r="F231">
        <v>20314.439999999999</v>
      </c>
      <c r="G231">
        <v>19650.189999999999</v>
      </c>
      <c r="H231" t="str" cm="1">
        <f t="array" ref="H231">_xlfn.IFS(G231 &gt; 0,"Positive", G231 &lt; 0, "Negative", G231 = 0, "First Order")</f>
        <v>Positive</v>
      </c>
    </row>
    <row r="232" spans="1:8" x14ac:dyDescent="0.35">
      <c r="A232" t="s">
        <v>71</v>
      </c>
      <c r="B232">
        <v>10301</v>
      </c>
      <c r="C232" s="1">
        <v>37899</v>
      </c>
      <c r="D232">
        <v>1</v>
      </c>
      <c r="E232">
        <v>36798.879999999997</v>
      </c>
      <c r="F232">
        <v>0</v>
      </c>
      <c r="G232">
        <v>0</v>
      </c>
      <c r="H232" t="str" cm="1">
        <f t="array" ref="H232">_xlfn.IFS(G232 &gt; 0,"Positive", G232 &lt; 0, "Negative", G232 = 0, "First Order")</f>
        <v>First Order</v>
      </c>
    </row>
    <row r="233" spans="1:8" x14ac:dyDescent="0.35">
      <c r="A233" t="s">
        <v>71</v>
      </c>
      <c r="B233">
        <v>10284</v>
      </c>
      <c r="C233" s="1">
        <v>38220</v>
      </c>
      <c r="D233">
        <v>2</v>
      </c>
      <c r="E233">
        <v>32260.16</v>
      </c>
      <c r="F233">
        <v>36798.879999999997</v>
      </c>
      <c r="G233">
        <v>-4538.72</v>
      </c>
      <c r="H233" t="str" cm="1">
        <f t="array" ref="H233">_xlfn.IFS(G233 &gt; 0,"Positive", G233 &lt; 0, "Negative", G233 = 0, "First Order")</f>
        <v>Negative</v>
      </c>
    </row>
    <row r="234" spans="1:8" x14ac:dyDescent="0.35">
      <c r="A234" t="s">
        <v>72</v>
      </c>
      <c r="B234">
        <v>10100</v>
      </c>
      <c r="C234" s="1">
        <v>37627</v>
      </c>
      <c r="D234">
        <v>1</v>
      </c>
      <c r="E234">
        <v>10223.83</v>
      </c>
      <c r="F234">
        <v>0</v>
      </c>
      <c r="G234">
        <v>0</v>
      </c>
      <c r="H234" t="str" cm="1">
        <f t="array" ref="H234">_xlfn.IFS(G234 &gt; 0,"Positive", G234 &lt; 0, "Negative", G234 = 0, "First Order")</f>
        <v>First Order</v>
      </c>
    </row>
    <row r="235" spans="1:8" x14ac:dyDescent="0.35">
      <c r="A235" t="s">
        <v>72</v>
      </c>
      <c r="B235">
        <v>10192</v>
      </c>
      <c r="C235" s="1">
        <v>37945</v>
      </c>
      <c r="D235">
        <v>2</v>
      </c>
      <c r="E235">
        <v>55425.77</v>
      </c>
      <c r="F235">
        <v>10223.83</v>
      </c>
      <c r="G235">
        <v>45201.94</v>
      </c>
      <c r="H235" t="str" cm="1">
        <f t="array" ref="H235">_xlfn.IFS(G235 &gt; 0,"Positive", G235 &lt; 0, "Negative", G235 = 0, "First Order")</f>
        <v>Positive</v>
      </c>
    </row>
    <row r="236" spans="1:8" x14ac:dyDescent="0.35">
      <c r="A236" t="s">
        <v>72</v>
      </c>
      <c r="B236">
        <v>10322</v>
      </c>
      <c r="C236" s="1">
        <v>38295</v>
      </c>
      <c r="D236">
        <v>3</v>
      </c>
      <c r="E236">
        <v>50799.69</v>
      </c>
      <c r="F236">
        <v>55425.77</v>
      </c>
      <c r="G236">
        <v>-4626.08</v>
      </c>
      <c r="H236" t="str" cm="1">
        <f t="array" ref="H236">_xlfn.IFS(G236 &gt; 0,"Positive", G236 &lt; 0, "Negative", G236 = 0, "First Order")</f>
        <v>Negative</v>
      </c>
    </row>
    <row r="237" spans="1:8" x14ac:dyDescent="0.35">
      <c r="A237" t="s">
        <v>73</v>
      </c>
      <c r="B237">
        <v>10276</v>
      </c>
      <c r="C237" s="1">
        <v>38201</v>
      </c>
      <c r="D237">
        <v>1</v>
      </c>
      <c r="E237">
        <v>51152.86</v>
      </c>
      <c r="F237">
        <v>0</v>
      </c>
      <c r="G237">
        <v>0</v>
      </c>
      <c r="H237" t="str" cm="1">
        <f t="array" ref="H237">_xlfn.IFS(G237 &gt; 0,"Positive", G237 &lt; 0, "Negative", G237 = 0, "First Order")</f>
        <v>First Order</v>
      </c>
    </row>
    <row r="238" spans="1:8" x14ac:dyDescent="0.35">
      <c r="A238" t="s">
        <v>73</v>
      </c>
      <c r="B238">
        <v>10294</v>
      </c>
      <c r="C238" s="1">
        <v>38240</v>
      </c>
      <c r="D238">
        <v>2</v>
      </c>
      <c r="E238">
        <v>4424.3999999999996</v>
      </c>
      <c r="F238">
        <v>51152.86</v>
      </c>
      <c r="G238">
        <v>-46728.46</v>
      </c>
      <c r="H238" t="str" cm="1">
        <f t="array" ref="H238">_xlfn.IFS(G238 &gt; 0,"Positive", G238 &lt; 0, "Negative", G238 = 0, "First Order")</f>
        <v>Negative</v>
      </c>
    </row>
    <row r="239" spans="1:8" x14ac:dyDescent="0.35">
      <c r="A239" t="s">
        <v>74</v>
      </c>
      <c r="B239">
        <v>10210</v>
      </c>
      <c r="C239" s="1">
        <v>37998</v>
      </c>
      <c r="D239">
        <v>1</v>
      </c>
      <c r="E239">
        <v>47177.59</v>
      </c>
      <c r="F239">
        <v>0</v>
      </c>
      <c r="G239">
        <v>0</v>
      </c>
      <c r="H239" t="str" cm="1">
        <f t="array" ref="H239">_xlfn.IFS(G239 &gt; 0,"Positive", G239 &lt; 0, "Negative", G239 = 0, "First Order")</f>
        <v>First Order</v>
      </c>
    </row>
    <row r="240" spans="1:8" x14ac:dyDescent="0.35">
      <c r="A240" t="s">
        <v>74</v>
      </c>
      <c r="B240">
        <v>10240</v>
      </c>
      <c r="C240" s="1">
        <v>38090</v>
      </c>
      <c r="D240">
        <v>2</v>
      </c>
      <c r="E240">
        <v>15183.63</v>
      </c>
      <c r="F240">
        <v>47177.59</v>
      </c>
      <c r="G240">
        <v>-31993.96</v>
      </c>
      <c r="H240" t="str" cm="1">
        <f t="array" ref="H240">_xlfn.IFS(G240 &gt; 0,"Positive", G240 &lt; 0, "Negative", G240 = 0, "First Order")</f>
        <v>Negative</v>
      </c>
    </row>
    <row r="241" spans="1:8" x14ac:dyDescent="0.35">
      <c r="A241" t="s">
        <v>75</v>
      </c>
      <c r="B241">
        <v>10151</v>
      </c>
      <c r="C241" s="1">
        <v>37885</v>
      </c>
      <c r="D241">
        <v>1</v>
      </c>
      <c r="E241">
        <v>32723.040000000001</v>
      </c>
      <c r="F241">
        <v>0</v>
      </c>
      <c r="G241">
        <v>0</v>
      </c>
      <c r="H241" t="str" cm="1">
        <f t="array" ref="H241">_xlfn.IFS(G241 &gt; 0,"Positive", G241 &lt; 0, "Negative", G241 = 0, "First Order")</f>
        <v>First Order</v>
      </c>
    </row>
    <row r="242" spans="1:8" x14ac:dyDescent="0.35">
      <c r="A242" t="s">
        <v>75</v>
      </c>
      <c r="B242">
        <v>10239</v>
      </c>
      <c r="C242" s="1">
        <v>38089</v>
      </c>
      <c r="D242">
        <v>2</v>
      </c>
      <c r="E242">
        <v>16212.59</v>
      </c>
      <c r="F242">
        <v>32723.040000000001</v>
      </c>
      <c r="G242">
        <v>-16510.45</v>
      </c>
      <c r="H242" t="str" cm="1">
        <f t="array" ref="H242">_xlfn.IFS(G242 &gt; 0,"Positive", G242 &lt; 0, "Negative", G242 = 0, "First Order")</f>
        <v>Negative</v>
      </c>
    </row>
    <row r="243" spans="1:8" x14ac:dyDescent="0.35">
      <c r="A243" t="s">
        <v>75</v>
      </c>
      <c r="B243">
        <v>10373</v>
      </c>
      <c r="C243" s="1">
        <v>38383</v>
      </c>
      <c r="D243">
        <v>3</v>
      </c>
      <c r="E243">
        <v>46770.52</v>
      </c>
      <c r="F243">
        <v>16212.59</v>
      </c>
      <c r="G243">
        <v>30557.93</v>
      </c>
      <c r="H243" t="str" cm="1">
        <f t="array" ref="H243">_xlfn.IFS(G243 &gt; 0,"Positive", G243 &lt; 0, "Negative", G243 = 0, "First Order")</f>
        <v>Positive</v>
      </c>
    </row>
    <row r="244" spans="1:8" x14ac:dyDescent="0.35">
      <c r="A244" t="s">
        <v>76</v>
      </c>
      <c r="B244">
        <v>10221</v>
      </c>
      <c r="C244" s="1">
        <v>38035</v>
      </c>
      <c r="D244">
        <v>1</v>
      </c>
      <c r="E244">
        <v>16901.38</v>
      </c>
      <c r="F244">
        <v>0</v>
      </c>
      <c r="G244">
        <v>0</v>
      </c>
      <c r="H244" t="str" cm="1">
        <f t="array" ref="H244">_xlfn.IFS(G244 &gt; 0,"Positive", G244 &lt; 0, "Negative", G244 = 0, "First Order")</f>
        <v>First Order</v>
      </c>
    </row>
    <row r="245" spans="1:8" x14ac:dyDescent="0.35">
      <c r="A245" t="s">
        <v>76</v>
      </c>
      <c r="B245">
        <v>10273</v>
      </c>
      <c r="C245" s="1">
        <v>38189</v>
      </c>
      <c r="D245">
        <v>2</v>
      </c>
      <c r="E245">
        <v>45352.47</v>
      </c>
      <c r="F245">
        <v>16901.38</v>
      </c>
      <c r="G245">
        <v>28451.09</v>
      </c>
      <c r="H245" t="str" cm="1">
        <f t="array" ref="H245">_xlfn.IFS(G245 &gt; 0,"Positive", G245 &lt; 0, "Negative", G245 = 0, "First Order")</f>
        <v>Positive</v>
      </c>
    </row>
    <row r="246" spans="1:8" x14ac:dyDescent="0.35">
      <c r="A246" t="s">
        <v>76</v>
      </c>
      <c r="B246">
        <v>10423</v>
      </c>
      <c r="C246" s="1">
        <v>38502</v>
      </c>
      <c r="D246">
        <v>3</v>
      </c>
      <c r="E246">
        <v>8597.73</v>
      </c>
      <c r="F246">
        <v>45352.47</v>
      </c>
      <c r="G246">
        <v>-36754.74</v>
      </c>
      <c r="H246" t="str" cm="1">
        <f t="array" ref="H246">_xlfn.IFS(G246 &gt; 0,"Positive", G246 &lt; 0, "Negative", G246 = 0, "First Order")</f>
        <v>Negative</v>
      </c>
    </row>
    <row r="247" spans="1:8" x14ac:dyDescent="0.35">
      <c r="A247" t="s">
        <v>77</v>
      </c>
      <c r="B247">
        <v>10171</v>
      </c>
      <c r="C247" s="1">
        <v>37930</v>
      </c>
      <c r="D247">
        <v>1</v>
      </c>
      <c r="E247">
        <v>16909.84</v>
      </c>
      <c r="F247">
        <v>0</v>
      </c>
      <c r="G247">
        <v>0</v>
      </c>
      <c r="H247" t="str" cm="1">
        <f t="array" ref="H247">_xlfn.IFS(G247 &gt; 0,"Positive", G247 &lt; 0, "Negative", G247 = 0, "First Order")</f>
        <v>First Order</v>
      </c>
    </row>
    <row r="248" spans="1:8" x14ac:dyDescent="0.35">
      <c r="A248" t="s">
        <v>77</v>
      </c>
      <c r="B248">
        <v>10261</v>
      </c>
      <c r="C248" s="1">
        <v>38155</v>
      </c>
      <c r="D248">
        <v>2</v>
      </c>
      <c r="E248">
        <v>22997.45</v>
      </c>
      <c r="F248">
        <v>16909.84</v>
      </c>
      <c r="G248">
        <v>6087.61</v>
      </c>
      <c r="H248" t="str" cm="1">
        <f t="array" ref="H248">_xlfn.IFS(G248 &gt; 0,"Positive", G248 &lt; 0, "Negative", G248 = 0, "First Order")</f>
        <v>Positive</v>
      </c>
    </row>
    <row r="249" spans="1:8" x14ac:dyDescent="0.35">
      <c r="A249" t="s">
        <v>77</v>
      </c>
      <c r="B249">
        <v>10411</v>
      </c>
      <c r="C249" s="1">
        <v>38473</v>
      </c>
      <c r="D249">
        <v>3</v>
      </c>
      <c r="E249">
        <v>29070.38</v>
      </c>
      <c r="F249">
        <v>22997.45</v>
      </c>
      <c r="G249">
        <v>6072.93</v>
      </c>
      <c r="H249" t="str" cm="1">
        <f t="array" ref="H249">_xlfn.IFS(G249 &gt; 0,"Positive", G249 &lt; 0, "Negative", G249 = 0, "First Order")</f>
        <v>Positive</v>
      </c>
    </row>
    <row r="250" spans="1:8" x14ac:dyDescent="0.35">
      <c r="A250" t="s">
        <v>78</v>
      </c>
      <c r="B250">
        <v>10121</v>
      </c>
      <c r="C250" s="1">
        <v>37748</v>
      </c>
      <c r="D250">
        <v>1</v>
      </c>
      <c r="E250">
        <v>16700.47</v>
      </c>
      <c r="F250">
        <v>0</v>
      </c>
      <c r="G250">
        <v>0</v>
      </c>
      <c r="H250" t="str" cm="1">
        <f t="array" ref="H250">_xlfn.IFS(G250 &gt; 0,"Positive", G250 &lt; 0, "Negative", G250 = 0, "First Order")</f>
        <v>First Order</v>
      </c>
    </row>
    <row r="251" spans="1:8" x14ac:dyDescent="0.35">
      <c r="A251" t="s">
        <v>78</v>
      </c>
      <c r="B251">
        <v>10137</v>
      </c>
      <c r="C251" s="1">
        <v>37812</v>
      </c>
      <c r="D251">
        <v>2</v>
      </c>
      <c r="E251">
        <v>13920.26</v>
      </c>
      <c r="F251">
        <v>16700.47</v>
      </c>
      <c r="G251">
        <v>-2780.21</v>
      </c>
      <c r="H251" t="str" cm="1">
        <f t="array" ref="H251">_xlfn.IFS(G251 &gt; 0,"Positive", G251 &lt; 0, "Negative", G251 = 0, "First Order")</f>
        <v>Negative</v>
      </c>
    </row>
    <row r="252" spans="1:8" x14ac:dyDescent="0.35">
      <c r="A252" t="s">
        <v>78</v>
      </c>
      <c r="B252">
        <v>10343</v>
      </c>
      <c r="C252" s="1">
        <v>38315</v>
      </c>
      <c r="D252">
        <v>3</v>
      </c>
      <c r="E252">
        <v>17104.91</v>
      </c>
      <c r="F252">
        <v>13920.26</v>
      </c>
      <c r="G252">
        <v>3184.65</v>
      </c>
      <c r="H252" t="str" cm="1">
        <f t="array" ref="H252">_xlfn.IFS(G252 &gt; 0,"Positive", G252 &lt; 0, "Negative", G252 = 0, "First Order")</f>
        <v>Positive</v>
      </c>
    </row>
    <row r="253" spans="1:8" x14ac:dyDescent="0.35">
      <c r="A253" t="s">
        <v>78</v>
      </c>
      <c r="B253">
        <v>10359</v>
      </c>
      <c r="C253" s="1">
        <v>38336</v>
      </c>
      <c r="D253">
        <v>4</v>
      </c>
      <c r="E253">
        <v>32600.61</v>
      </c>
      <c r="F253">
        <v>17104.91</v>
      </c>
      <c r="G253">
        <v>15495.7</v>
      </c>
      <c r="H253" t="str" cm="1">
        <f t="array" ref="H253">_xlfn.IFS(G253 &gt; 0,"Positive", G253 &lt; 0, "Negative", G253 = 0, "First Order")</f>
        <v>Positive</v>
      </c>
    </row>
    <row r="254" spans="1:8" x14ac:dyDescent="0.35">
      <c r="A254" t="s">
        <v>78</v>
      </c>
      <c r="B254">
        <v>10398</v>
      </c>
      <c r="C254" s="1">
        <v>38441</v>
      </c>
      <c r="D254">
        <v>5</v>
      </c>
      <c r="E254">
        <v>46656.94</v>
      </c>
      <c r="F254">
        <v>32600.61</v>
      </c>
      <c r="G254">
        <v>14056.33</v>
      </c>
      <c r="H254" t="str" cm="1">
        <f t="array" ref="H254">_xlfn.IFS(G254 &gt; 0,"Positive", G254 &lt; 0, "Negative", G254 = 0, "First Order")</f>
        <v>Positive</v>
      </c>
    </row>
    <row r="255" spans="1:8" x14ac:dyDescent="0.35">
      <c r="A255" t="s">
        <v>79</v>
      </c>
      <c r="B255">
        <v>10106</v>
      </c>
      <c r="C255" s="1">
        <v>37669</v>
      </c>
      <c r="D255">
        <v>1</v>
      </c>
      <c r="E255">
        <v>52151.81</v>
      </c>
      <c r="F255">
        <v>0</v>
      </c>
      <c r="G255">
        <v>0</v>
      </c>
      <c r="H255" t="str" cm="1">
        <f t="array" ref="H255">_xlfn.IFS(G255 &gt; 0,"Positive", G255 &lt; 0, "Negative", G255 = 0, "First Order")</f>
        <v>First Order</v>
      </c>
    </row>
    <row r="256" spans="1:8" x14ac:dyDescent="0.35">
      <c r="A256" t="s">
        <v>79</v>
      </c>
      <c r="B256">
        <v>10173</v>
      </c>
      <c r="C256" s="1">
        <v>37930</v>
      </c>
      <c r="D256">
        <v>2</v>
      </c>
      <c r="E256">
        <v>37723.79</v>
      </c>
      <c r="F256">
        <v>52151.81</v>
      </c>
      <c r="G256">
        <v>-14428.02</v>
      </c>
      <c r="H256" t="str" cm="1">
        <f t="array" ref="H256">_xlfn.IFS(G256 &gt; 0,"Positive", G256 &lt; 0, "Negative", G256 = 0, "First Order")</f>
        <v>Negative</v>
      </c>
    </row>
    <row r="257" spans="1:8" x14ac:dyDescent="0.35">
      <c r="A257" t="s">
        <v>79</v>
      </c>
      <c r="B257">
        <v>10328</v>
      </c>
      <c r="C257" s="1">
        <v>38303</v>
      </c>
      <c r="D257">
        <v>3</v>
      </c>
      <c r="E257">
        <v>37654.089999999997</v>
      </c>
      <c r="F257">
        <v>37723.79</v>
      </c>
      <c r="G257">
        <v>-69.7</v>
      </c>
      <c r="H257" t="str" cm="1">
        <f t="array" ref="H257">_xlfn.IFS(G257 &gt; 0,"Positive", G257 &lt; 0, "Negative", G257 = 0, "First Order")</f>
        <v>Negative</v>
      </c>
    </row>
    <row r="258" spans="1:8" x14ac:dyDescent="0.35">
      <c r="A258" t="s">
        <v>80</v>
      </c>
      <c r="B258">
        <v>10235</v>
      </c>
      <c r="C258" s="1">
        <v>38079</v>
      </c>
      <c r="D258">
        <v>1</v>
      </c>
      <c r="E258">
        <v>29284.42</v>
      </c>
      <c r="F258">
        <v>0</v>
      </c>
      <c r="G258">
        <v>0</v>
      </c>
      <c r="H258" t="str" cm="1">
        <f t="array" ref="H258">_xlfn.IFS(G258 &gt; 0,"Positive", G258 &lt; 0, "Negative", G258 = 0, "First Order")</f>
        <v>First Order</v>
      </c>
    </row>
    <row r="259" spans="1:8" x14ac:dyDescent="0.35">
      <c r="A259" t="s">
        <v>80</v>
      </c>
      <c r="B259">
        <v>10283</v>
      </c>
      <c r="C259" s="1">
        <v>38219</v>
      </c>
      <c r="D259">
        <v>2</v>
      </c>
      <c r="E259">
        <v>37527.58</v>
      </c>
      <c r="F259">
        <v>29284.42</v>
      </c>
      <c r="G259">
        <v>8243.16</v>
      </c>
      <c r="H259" t="str" cm="1">
        <f t="array" ref="H259">_xlfn.IFS(G259 &gt; 0,"Positive", G259 &lt; 0, "Negative", G259 = 0, "First Order")</f>
        <v>Positive</v>
      </c>
    </row>
    <row r="260" spans="1:8" x14ac:dyDescent="0.35">
      <c r="A260" t="s">
        <v>81</v>
      </c>
      <c r="B260">
        <v>10116</v>
      </c>
      <c r="C260" s="1">
        <v>37722</v>
      </c>
      <c r="D260">
        <v>1</v>
      </c>
      <c r="E260">
        <v>1627.56</v>
      </c>
      <c r="F260">
        <v>0</v>
      </c>
      <c r="G260">
        <v>0</v>
      </c>
      <c r="H260" t="str" cm="1">
        <f t="array" ref="H260">_xlfn.IFS(G260 &gt; 0,"Positive", G260 &lt; 0, "Negative", G260 = 0, "First Order")</f>
        <v>First Order</v>
      </c>
    </row>
    <row r="261" spans="1:8" x14ac:dyDescent="0.35">
      <c r="A261" t="s">
        <v>81</v>
      </c>
      <c r="B261">
        <v>10144</v>
      </c>
      <c r="C261" s="1">
        <v>37846</v>
      </c>
      <c r="D261">
        <v>2</v>
      </c>
      <c r="E261">
        <v>1128.2</v>
      </c>
      <c r="F261">
        <v>1627.56</v>
      </c>
      <c r="G261">
        <v>-499.36</v>
      </c>
      <c r="H261" t="str" cm="1">
        <f t="array" ref="H261">_xlfn.IFS(G261 &gt; 0,"Positive", G261 &lt; 0, "Negative", G261 = 0, "First Order")</f>
        <v>Negative</v>
      </c>
    </row>
    <row r="262" spans="1:8" x14ac:dyDescent="0.35">
      <c r="A262" t="s">
        <v>81</v>
      </c>
      <c r="B262">
        <v>10338</v>
      </c>
      <c r="C262" s="1">
        <v>38313</v>
      </c>
      <c r="D262">
        <v>3</v>
      </c>
      <c r="E262">
        <v>12081.52</v>
      </c>
      <c r="F262">
        <v>1128.2</v>
      </c>
      <c r="G262">
        <v>10953.32</v>
      </c>
      <c r="H262" t="str" cm="1">
        <f t="array" ref="H262">_xlfn.IFS(G262 &gt; 0,"Positive", G262 &lt; 0, "Negative", G262 = 0, "First Order")</f>
        <v>Positive</v>
      </c>
    </row>
    <row r="263" spans="1:8" x14ac:dyDescent="0.35">
      <c r="A263" t="s">
        <v>81</v>
      </c>
      <c r="B263">
        <v>10366</v>
      </c>
      <c r="C263" s="1">
        <v>38362</v>
      </c>
      <c r="D263">
        <v>4</v>
      </c>
      <c r="E263">
        <v>14379.9</v>
      </c>
      <c r="F263">
        <v>12081.52</v>
      </c>
      <c r="G263">
        <v>2298.38</v>
      </c>
      <c r="H263" t="str" cm="1">
        <f t="array" ref="H263">_xlfn.IFS(G263 &gt; 0,"Positive", G263 &lt; 0, "Negative", G263 = 0, "First Order")</f>
        <v>Positive</v>
      </c>
    </row>
    <row r="264" spans="1:8" x14ac:dyDescent="0.35">
      <c r="A264" t="s">
        <v>82</v>
      </c>
      <c r="B264">
        <v>10119</v>
      </c>
      <c r="C264" s="1">
        <v>37739</v>
      </c>
      <c r="D264">
        <v>1</v>
      </c>
      <c r="E264">
        <v>35826.33</v>
      </c>
      <c r="F264">
        <v>0</v>
      </c>
      <c r="G264">
        <v>0</v>
      </c>
      <c r="H264" t="str" cm="1">
        <f t="array" ref="H264">_xlfn.IFS(G264 &gt; 0,"Positive", G264 &lt; 0, "Negative", G264 = 0, "First Order")</f>
        <v>First Order</v>
      </c>
    </row>
    <row r="265" spans="1:8" x14ac:dyDescent="0.35">
      <c r="A265" t="s">
        <v>82</v>
      </c>
      <c r="B265">
        <v>10269</v>
      </c>
      <c r="C265" s="1">
        <v>38184</v>
      </c>
      <c r="D265">
        <v>2</v>
      </c>
      <c r="E265">
        <v>6419.84</v>
      </c>
      <c r="F265">
        <v>35826.33</v>
      </c>
      <c r="G265">
        <v>-29406.49</v>
      </c>
      <c r="H265" t="str" cm="1">
        <f t="array" ref="H265">_xlfn.IFS(G265 &gt; 0,"Positive", G265 &lt; 0, "Negative", G265 = 0, "First Order")</f>
        <v>Negative</v>
      </c>
    </row>
    <row r="266" spans="1:8" x14ac:dyDescent="0.35">
      <c r="A266" t="s">
        <v>82</v>
      </c>
      <c r="B266">
        <v>10341</v>
      </c>
      <c r="C266" s="1">
        <v>38315</v>
      </c>
      <c r="D266">
        <v>3</v>
      </c>
      <c r="E266">
        <v>42813.83</v>
      </c>
      <c r="F266">
        <v>6419.84</v>
      </c>
      <c r="G266">
        <v>36393.99</v>
      </c>
      <c r="H266" t="str" cm="1">
        <f t="array" ref="H266">_xlfn.IFS(G266 &gt; 0,"Positive", G266 &lt; 0, "Negative", G266 = 0, "First Order")</f>
        <v>Positive</v>
      </c>
    </row>
    <row r="267" spans="1:8" x14ac:dyDescent="0.35">
      <c r="A267" t="s">
        <v>82</v>
      </c>
      <c r="B267">
        <v>10419</v>
      </c>
      <c r="C267" s="1">
        <v>38489</v>
      </c>
      <c r="D267">
        <v>4</v>
      </c>
      <c r="E267">
        <v>52420.07</v>
      </c>
      <c r="F267">
        <v>42813.83</v>
      </c>
      <c r="G267">
        <v>9606.24</v>
      </c>
      <c r="H267" t="str" cm="1">
        <f t="array" ref="H267">_xlfn.IFS(G267 &gt; 0,"Positive", G267 &lt; 0, "Negative", G267 = 0, "First Order")</f>
        <v>Positive</v>
      </c>
    </row>
    <row r="268" spans="1:8" x14ac:dyDescent="0.35">
      <c r="A268" t="s">
        <v>83</v>
      </c>
      <c r="B268">
        <v>10194</v>
      </c>
      <c r="C268" s="1">
        <v>37950</v>
      </c>
      <c r="D268">
        <v>1</v>
      </c>
      <c r="E268">
        <v>39712.1</v>
      </c>
      <c r="F268">
        <v>0</v>
      </c>
      <c r="G268">
        <v>0</v>
      </c>
      <c r="H268" t="str" cm="1">
        <f t="array" ref="H268">_xlfn.IFS(G268 &gt; 0,"Positive", G268 &lt; 0, "Negative", G268 = 0, "First Order")</f>
        <v>First Order</v>
      </c>
    </row>
    <row r="269" spans="1:8" x14ac:dyDescent="0.35">
      <c r="A269" t="s">
        <v>83</v>
      </c>
      <c r="B269">
        <v>10208</v>
      </c>
      <c r="C269" s="1">
        <v>37988</v>
      </c>
      <c r="D269">
        <v>2</v>
      </c>
      <c r="E269">
        <v>49614.720000000001</v>
      </c>
      <c r="F269">
        <v>39712.1</v>
      </c>
      <c r="G269">
        <v>9902.6200000000008</v>
      </c>
      <c r="H269" t="str" cm="1">
        <f t="array" ref="H269">_xlfn.IFS(G269 &gt; 0,"Positive", G269 &lt; 0, "Negative", G269 = 0, "First Order")</f>
        <v>Positive</v>
      </c>
    </row>
    <row r="270" spans="1:8" x14ac:dyDescent="0.35">
      <c r="A270" t="s">
        <v>83</v>
      </c>
      <c r="B270">
        <v>10227</v>
      </c>
      <c r="C270" s="1">
        <v>38048</v>
      </c>
      <c r="D270">
        <v>3</v>
      </c>
      <c r="E270">
        <v>40978.53</v>
      </c>
      <c r="F270">
        <v>49614.720000000001</v>
      </c>
      <c r="G270">
        <v>-8636.19</v>
      </c>
      <c r="H270" t="str" cm="1">
        <f t="array" ref="H270">_xlfn.IFS(G270 &gt; 0,"Positive", G270 &lt; 0, "Negative", G270 = 0, "First Order")</f>
        <v>Negative</v>
      </c>
    </row>
    <row r="271" spans="1:8" x14ac:dyDescent="0.35">
      <c r="A271" t="s">
        <v>84</v>
      </c>
      <c r="B271">
        <v>10167</v>
      </c>
      <c r="C271" s="1">
        <v>37917</v>
      </c>
      <c r="D271">
        <v>1</v>
      </c>
      <c r="E271">
        <v>44167.09</v>
      </c>
      <c r="F271">
        <v>0</v>
      </c>
      <c r="G271">
        <v>0</v>
      </c>
      <c r="H271" t="str" cm="1">
        <f t="array" ref="H271">_xlfn.IFS(G271 &gt; 0,"Positive", G271 &lt; 0, "Negative", G271 = 0, "First Order")</f>
        <v>First Order</v>
      </c>
    </row>
    <row r="272" spans="1:8" x14ac:dyDescent="0.35">
      <c r="A272" t="s">
        <v>84</v>
      </c>
      <c r="B272">
        <v>10291</v>
      </c>
      <c r="C272" s="1">
        <v>38238</v>
      </c>
      <c r="D272">
        <v>2</v>
      </c>
      <c r="E272">
        <v>48809.9</v>
      </c>
      <c r="F272">
        <v>44167.09</v>
      </c>
      <c r="G272">
        <v>4642.8100000000004</v>
      </c>
      <c r="H272" t="str" cm="1">
        <f t="array" ref="H272">_xlfn.IFS(G272 &gt; 0,"Positive", G272 &lt; 0, "Negative", G272 = 0, "First Order")</f>
        <v>Positive</v>
      </c>
    </row>
    <row r="273" spans="1:8" x14ac:dyDescent="0.35">
      <c r="A273" t="s">
        <v>84</v>
      </c>
      <c r="B273">
        <v>10389</v>
      </c>
      <c r="C273" s="1">
        <v>38414</v>
      </c>
      <c r="D273">
        <v>3</v>
      </c>
      <c r="E273">
        <v>27966.54</v>
      </c>
      <c r="F273">
        <v>48809.9</v>
      </c>
      <c r="G273">
        <v>-20843.36</v>
      </c>
      <c r="H273" t="str" cm="1">
        <f t="array" ref="H273">_xlfn.IFS(G273 &gt; 0,"Positive", G273 &lt; 0, "Negative", G273 = 0, "First Order")</f>
        <v>Negative</v>
      </c>
    </row>
    <row r="274" spans="1:8" x14ac:dyDescent="0.35">
      <c r="A274" t="s">
        <v>85</v>
      </c>
      <c r="B274">
        <v>10149</v>
      </c>
      <c r="C274" s="1">
        <v>37876</v>
      </c>
      <c r="D274">
        <v>1</v>
      </c>
      <c r="E274">
        <v>29997.09</v>
      </c>
      <c r="F274">
        <v>0</v>
      </c>
      <c r="G274">
        <v>0</v>
      </c>
      <c r="H274" t="str" cm="1">
        <f t="array" ref="H274">_xlfn.IFS(G274 &gt; 0,"Positive", G274 &lt; 0, "Negative", G274 = 0, "First Order")</f>
        <v>First Order</v>
      </c>
    </row>
    <row r="275" spans="1:8" x14ac:dyDescent="0.35">
      <c r="A275" t="s">
        <v>85</v>
      </c>
      <c r="B275">
        <v>10219</v>
      </c>
      <c r="C275" s="1">
        <v>38027</v>
      </c>
      <c r="D275">
        <v>2</v>
      </c>
      <c r="E275">
        <v>12573.28</v>
      </c>
      <c r="F275">
        <v>29997.09</v>
      </c>
      <c r="G275">
        <v>-17423.810000000001</v>
      </c>
      <c r="H275" t="str" cm="1">
        <f t="array" ref="H275">_xlfn.IFS(G275 &gt; 0,"Positive", G275 &lt; 0, "Negative", G275 = 0, "First Order")</f>
        <v>Negative</v>
      </c>
    </row>
    <row r="276" spans="1:8" x14ac:dyDescent="0.35">
      <c r="A276" t="s">
        <v>86</v>
      </c>
      <c r="B276">
        <v>10124</v>
      </c>
      <c r="C276" s="1">
        <v>37762</v>
      </c>
      <c r="D276">
        <v>1</v>
      </c>
      <c r="E276">
        <v>32641.98</v>
      </c>
      <c r="F276">
        <v>0</v>
      </c>
      <c r="G276">
        <v>0</v>
      </c>
      <c r="H276" t="str" cm="1">
        <f t="array" ref="H276">_xlfn.IFS(G276 &gt; 0,"Positive", G276 &lt; 0, "Negative", G276 = 0, "First Order")</f>
        <v>First Order</v>
      </c>
    </row>
    <row r="277" spans="1:8" x14ac:dyDescent="0.35">
      <c r="A277" t="s">
        <v>86</v>
      </c>
      <c r="B277">
        <v>10278</v>
      </c>
      <c r="C277" s="1">
        <v>38205</v>
      </c>
      <c r="D277">
        <v>2</v>
      </c>
      <c r="E277">
        <v>33347.879999999997</v>
      </c>
      <c r="F277">
        <v>32641.98</v>
      </c>
      <c r="G277">
        <v>705.9</v>
      </c>
      <c r="H277" t="str" cm="1">
        <f t="array" ref="H277">_xlfn.IFS(G277 &gt; 0,"Positive", G277 &lt; 0, "Negative", G277 = 0, "First Order")</f>
        <v>Positive</v>
      </c>
    </row>
    <row r="278" spans="1:8" x14ac:dyDescent="0.35">
      <c r="A278" t="s">
        <v>86</v>
      </c>
      <c r="B278">
        <v>10346</v>
      </c>
      <c r="C278" s="1">
        <v>38320</v>
      </c>
      <c r="D278">
        <v>3</v>
      </c>
      <c r="E278">
        <v>14191.12</v>
      </c>
      <c r="F278">
        <v>33347.879999999997</v>
      </c>
      <c r="G278">
        <v>-19156.759999999998</v>
      </c>
      <c r="H278" t="str" cm="1">
        <f t="array" ref="H278">_xlfn.IFS(G278 &gt; 0,"Positive", G278 &lt; 0, "Negative", G278 = 0, "First Order")</f>
        <v>Negative</v>
      </c>
    </row>
    <row r="279" spans="1:8" x14ac:dyDescent="0.35">
      <c r="A279" t="s">
        <v>87</v>
      </c>
      <c r="B279">
        <v>10139</v>
      </c>
      <c r="C279" s="1">
        <v>37818</v>
      </c>
      <c r="D279">
        <v>1</v>
      </c>
      <c r="E279">
        <v>24013.52</v>
      </c>
      <c r="F279">
        <v>0</v>
      </c>
      <c r="G279">
        <v>0</v>
      </c>
      <c r="H279" t="str" cm="1">
        <f t="array" ref="H279">_xlfn.IFS(G279 &gt; 0,"Positive", G279 &lt; 0, "Negative", G279 = 0, "First Order")</f>
        <v>First Order</v>
      </c>
    </row>
    <row r="280" spans="1:8" x14ac:dyDescent="0.35">
      <c r="A280" t="s">
        <v>87</v>
      </c>
      <c r="B280">
        <v>10270</v>
      </c>
      <c r="C280" s="1">
        <v>38187</v>
      </c>
      <c r="D280">
        <v>2</v>
      </c>
      <c r="E280">
        <v>35806.730000000003</v>
      </c>
      <c r="F280">
        <v>24013.52</v>
      </c>
      <c r="G280">
        <v>11793.21</v>
      </c>
      <c r="H280" t="str" cm="1">
        <f t="array" ref="H280">_xlfn.IFS(G280 &gt; 0,"Positive", G280 &lt; 0, "Negative", G280 = 0, "First Order")</f>
        <v>Positive</v>
      </c>
    </row>
    <row r="281" spans="1:8" x14ac:dyDescent="0.35">
      <c r="A281" t="s">
        <v>87</v>
      </c>
      <c r="B281">
        <v>10361</v>
      </c>
      <c r="C281" s="1">
        <v>38338</v>
      </c>
      <c r="D281">
        <v>3</v>
      </c>
      <c r="E281">
        <v>31835.360000000001</v>
      </c>
      <c r="F281">
        <v>35806.730000000003</v>
      </c>
      <c r="G281">
        <v>-3971.37</v>
      </c>
      <c r="H281" t="str" cm="1">
        <f t="array" ref="H281">_xlfn.IFS(G281 &gt; 0,"Positive", G281 &lt; 0, "Negative", G281 = 0, "First Order")</f>
        <v>Negative</v>
      </c>
    </row>
    <row r="282" spans="1:8" x14ac:dyDescent="0.35">
      <c r="A282" t="s">
        <v>87</v>
      </c>
      <c r="B282">
        <v>10420</v>
      </c>
      <c r="C282" s="1">
        <v>38501</v>
      </c>
      <c r="D282">
        <v>4</v>
      </c>
      <c r="E282">
        <v>42251.51</v>
      </c>
      <c r="F282">
        <v>31835.360000000001</v>
      </c>
      <c r="G282">
        <v>10416.15</v>
      </c>
      <c r="H282" t="str" cm="1">
        <f t="array" ref="H282">_xlfn.IFS(G282 &gt; 0,"Positive", G282 &lt; 0, "Negative", G282 = 0, "First Order")</f>
        <v>Positive</v>
      </c>
    </row>
    <row r="283" spans="1:8" x14ac:dyDescent="0.35">
      <c r="A283" t="s">
        <v>88</v>
      </c>
      <c r="B283">
        <v>10129</v>
      </c>
      <c r="C283" s="1">
        <v>37784</v>
      </c>
      <c r="D283">
        <v>1</v>
      </c>
      <c r="E283">
        <v>29429.14</v>
      </c>
      <c r="F283">
        <v>0</v>
      </c>
      <c r="G283">
        <v>0</v>
      </c>
      <c r="H283" t="str" cm="1">
        <f t="array" ref="H283">_xlfn.IFS(G283 &gt; 0,"Positive", G283 &lt; 0, "Negative", G283 = 0, "First Order")</f>
        <v>First Order</v>
      </c>
    </row>
    <row r="284" spans="1:8" x14ac:dyDescent="0.35">
      <c r="A284" t="s">
        <v>88</v>
      </c>
      <c r="B284">
        <v>10175</v>
      </c>
      <c r="C284" s="1">
        <v>37931</v>
      </c>
      <c r="D284">
        <v>2</v>
      </c>
      <c r="E284">
        <v>37455.769999999997</v>
      </c>
      <c r="F284">
        <v>29429.14</v>
      </c>
      <c r="G284">
        <v>8026.63</v>
      </c>
      <c r="H284" t="str" cm="1">
        <f t="array" ref="H284">_xlfn.IFS(G284 &gt; 0,"Positive", G284 &lt; 0, "Negative", G284 = 0, "First Order")</f>
        <v>Positive</v>
      </c>
    </row>
    <row r="285" spans="1:8" x14ac:dyDescent="0.35">
      <c r="A285" t="s">
        <v>88</v>
      </c>
      <c r="B285">
        <v>10351</v>
      </c>
      <c r="C285" s="1">
        <v>38324</v>
      </c>
      <c r="D285">
        <v>3</v>
      </c>
      <c r="E285">
        <v>13671.82</v>
      </c>
      <c r="F285">
        <v>37455.769999999997</v>
      </c>
      <c r="G285">
        <v>-23783.95</v>
      </c>
      <c r="H285" t="str" cm="1">
        <f t="array" ref="H285">_xlfn.IFS(G285 &gt; 0,"Positive", G285 &lt; 0, "Negative", G285 = 0, "First Order")</f>
        <v>Negative</v>
      </c>
    </row>
    <row r="286" spans="1:8" x14ac:dyDescent="0.35">
      <c r="A286" t="s">
        <v>89</v>
      </c>
      <c r="B286">
        <v>10141</v>
      </c>
      <c r="C286" s="1">
        <v>37834</v>
      </c>
      <c r="D286">
        <v>1</v>
      </c>
      <c r="E286">
        <v>29716.86</v>
      </c>
      <c r="F286">
        <v>0</v>
      </c>
      <c r="G286">
        <v>0</v>
      </c>
      <c r="H286" t="str" cm="1">
        <f t="array" ref="H286">_xlfn.IFS(G286 &gt; 0,"Positive", G286 &lt; 0, "Negative", G286 = 0, "First Order")</f>
        <v>First Order</v>
      </c>
    </row>
    <row r="287" spans="1:8" x14ac:dyDescent="0.35">
      <c r="A287" t="s">
        <v>89</v>
      </c>
      <c r="B287">
        <v>10247</v>
      </c>
      <c r="C287" s="1">
        <v>38112</v>
      </c>
      <c r="D287">
        <v>2</v>
      </c>
      <c r="E287">
        <v>28394.54</v>
      </c>
      <c r="F287">
        <v>29716.86</v>
      </c>
      <c r="G287">
        <v>-1322.32</v>
      </c>
      <c r="H287" t="str" cm="1">
        <f t="array" ref="H287">_xlfn.IFS(G287 &gt; 0,"Positive", G287 &lt; 0, "Negative", G287 = 0, "First Order")</f>
        <v>Negative</v>
      </c>
    </row>
    <row r="288" spans="1:8" x14ac:dyDescent="0.35">
      <c r="A288" t="s">
        <v>89</v>
      </c>
      <c r="B288">
        <v>10363</v>
      </c>
      <c r="C288" s="1">
        <v>38358</v>
      </c>
      <c r="D288">
        <v>3</v>
      </c>
      <c r="E288">
        <v>45785.34</v>
      </c>
      <c r="F288">
        <v>28394.54</v>
      </c>
      <c r="G288">
        <v>17390.8</v>
      </c>
      <c r="H288" t="str" cm="1">
        <f t="array" ref="H288">_xlfn.IFS(G288 &gt; 0,"Positive", G288 &lt; 0, "Negative", G288 = 0, "First Order")</f>
        <v>Positive</v>
      </c>
    </row>
    <row r="289" spans="1:8" x14ac:dyDescent="0.35">
      <c r="A289" t="s">
        <v>90</v>
      </c>
      <c r="B289">
        <v>10196</v>
      </c>
      <c r="C289" s="1">
        <v>37951</v>
      </c>
      <c r="D289">
        <v>1</v>
      </c>
      <c r="E289">
        <v>38139.18</v>
      </c>
      <c r="F289">
        <v>0</v>
      </c>
      <c r="G289">
        <v>0</v>
      </c>
      <c r="H289" t="str" cm="1">
        <f t="array" ref="H289">_xlfn.IFS(G289 &gt; 0,"Positive", G289 &lt; 0, "Negative", G289 = 0, "First Order")</f>
        <v>First Order</v>
      </c>
    </row>
    <row r="290" spans="1:8" x14ac:dyDescent="0.35">
      <c r="A290" t="s">
        <v>90</v>
      </c>
      <c r="B290">
        <v>10245</v>
      </c>
      <c r="C290" s="1">
        <v>38111</v>
      </c>
      <c r="D290">
        <v>2</v>
      </c>
      <c r="E290">
        <v>32239.47</v>
      </c>
      <c r="F290">
        <v>38139.18</v>
      </c>
      <c r="G290">
        <v>-5899.71</v>
      </c>
      <c r="H290" t="str" cm="1">
        <f t="array" ref="H290">_xlfn.IFS(G290 &gt; 0,"Positive", G290 &lt; 0, "Negative", G290 = 0, "First Order")</f>
        <v>Negative</v>
      </c>
    </row>
    <row r="291" spans="1:8" x14ac:dyDescent="0.35">
      <c r="A291" t="s">
        <v>91</v>
      </c>
      <c r="B291">
        <v>10140</v>
      </c>
      <c r="C291" s="1">
        <v>37826</v>
      </c>
      <c r="D291">
        <v>1</v>
      </c>
      <c r="E291">
        <v>38675.129999999997</v>
      </c>
      <c r="F291">
        <v>0</v>
      </c>
      <c r="G291">
        <v>0</v>
      </c>
      <c r="H291" t="str" cm="1">
        <f t="array" ref="H291">_xlfn.IFS(G291 &gt; 0,"Positive", G291 &lt; 0, "Negative", G291 = 0, "First Order")</f>
        <v>First Order</v>
      </c>
    </row>
    <row r="292" spans="1:8" x14ac:dyDescent="0.35">
      <c r="A292" t="s">
        <v>91</v>
      </c>
      <c r="B292">
        <v>10168</v>
      </c>
      <c r="C292" s="1">
        <v>37922</v>
      </c>
      <c r="D292">
        <v>2</v>
      </c>
      <c r="E292">
        <v>50743.65</v>
      </c>
      <c r="F292">
        <v>38675.129999999997</v>
      </c>
      <c r="G292">
        <v>12068.52</v>
      </c>
      <c r="H292" t="str" cm="1">
        <f t="array" ref="H292">_xlfn.IFS(G292 &gt; 0,"Positive", G292 &lt; 0, "Negative", G292 = 0, "First Order")</f>
        <v>Positive</v>
      </c>
    </row>
    <row r="293" spans="1:8" x14ac:dyDescent="0.35">
      <c r="A293" t="s">
        <v>91</v>
      </c>
      <c r="B293">
        <v>10317</v>
      </c>
      <c r="C293" s="1">
        <v>38293</v>
      </c>
      <c r="D293">
        <v>3</v>
      </c>
      <c r="E293">
        <v>2434.25</v>
      </c>
      <c r="F293">
        <v>50743.65</v>
      </c>
      <c r="G293">
        <v>-48309.4</v>
      </c>
      <c r="H293" t="str" cm="1">
        <f t="array" ref="H293">_xlfn.IFS(G293 &gt; 0,"Positive", G293 &lt; 0, "Negative", G293 = 0, "First Order")</f>
        <v>Negative</v>
      </c>
    </row>
    <row r="294" spans="1:8" x14ac:dyDescent="0.35">
      <c r="A294" t="s">
        <v>91</v>
      </c>
      <c r="B294">
        <v>10362</v>
      </c>
      <c r="C294" s="1">
        <v>38357</v>
      </c>
      <c r="D294">
        <v>4</v>
      </c>
      <c r="E294">
        <v>12692.19</v>
      </c>
      <c r="F294">
        <v>2434.25</v>
      </c>
      <c r="G294">
        <v>10257.94</v>
      </c>
      <c r="H294" t="str" cm="1">
        <f t="array" ref="H294">_xlfn.IFS(G294 &gt; 0,"Positive", G294 &lt; 0, "Negative", G294 = 0, "First Order")</f>
        <v>Positive</v>
      </c>
    </row>
    <row r="295" spans="1:8" x14ac:dyDescent="0.35">
      <c r="A295" t="s">
        <v>92</v>
      </c>
      <c r="B295">
        <v>10233</v>
      </c>
      <c r="C295" s="1">
        <v>38075</v>
      </c>
      <c r="D295">
        <v>1</v>
      </c>
      <c r="E295">
        <v>7178.66</v>
      </c>
      <c r="F295">
        <v>0</v>
      </c>
      <c r="G295">
        <v>0</v>
      </c>
      <c r="H295" t="str" cm="1">
        <f t="array" ref="H295">_xlfn.IFS(G295 &gt; 0,"Positive", G295 &lt; 0, "Negative", G295 = 0, "First Order")</f>
        <v>First Order</v>
      </c>
    </row>
    <row r="296" spans="1:8" x14ac:dyDescent="0.35">
      <c r="A296" t="s">
        <v>92</v>
      </c>
      <c r="B296">
        <v>10251</v>
      </c>
      <c r="C296" s="1">
        <v>38125</v>
      </c>
      <c r="D296">
        <v>2</v>
      </c>
      <c r="E296">
        <v>31102.85</v>
      </c>
      <c r="F296">
        <v>7178.66</v>
      </c>
      <c r="G296">
        <v>23924.19</v>
      </c>
      <c r="H296" t="str" cm="1">
        <f t="array" ref="H296">_xlfn.IFS(G296 &gt; 0,"Positive", G296 &lt; 0, "Negative", G296 = 0, "First Order")</f>
        <v>Positive</v>
      </c>
    </row>
    <row r="297" spans="1:8" x14ac:dyDescent="0.35">
      <c r="A297" t="s">
        <v>92</v>
      </c>
      <c r="B297">
        <v>10401</v>
      </c>
      <c r="C297" s="1">
        <v>38445</v>
      </c>
      <c r="D297">
        <v>3</v>
      </c>
      <c r="E297">
        <v>43525.04</v>
      </c>
      <c r="F297">
        <v>31102.85</v>
      </c>
      <c r="G297">
        <v>12422.19</v>
      </c>
      <c r="H297" t="str" cm="1">
        <f t="array" ref="H297">_xlfn.IFS(G297 &gt; 0,"Positive", G297 &lt; 0, "Negative", G297 = 0, "First Order")</f>
        <v>Positive</v>
      </c>
    </row>
    <row r="298" spans="1:8" x14ac:dyDescent="0.35">
      <c r="A298" t="s">
        <v>93</v>
      </c>
      <c r="B298">
        <v>10250</v>
      </c>
      <c r="C298" s="1">
        <v>38118</v>
      </c>
      <c r="D298">
        <v>1</v>
      </c>
      <c r="E298">
        <v>42798.080000000002</v>
      </c>
      <c r="F298">
        <v>0</v>
      </c>
      <c r="G298">
        <v>0</v>
      </c>
      <c r="H298" t="str" cm="1">
        <f t="array" ref="H298">_xlfn.IFS(G298 &gt; 0,"Positive", G298 &lt; 0, "Negative", G298 = 0, "First Order")</f>
        <v>First Order</v>
      </c>
    </row>
    <row r="299" spans="1:8" x14ac:dyDescent="0.35">
      <c r="A299" t="s">
        <v>93</v>
      </c>
      <c r="B299">
        <v>10257</v>
      </c>
      <c r="C299" s="1">
        <v>38152</v>
      </c>
      <c r="D299">
        <v>2</v>
      </c>
      <c r="E299">
        <v>16753.3</v>
      </c>
      <c r="F299">
        <v>42798.080000000002</v>
      </c>
      <c r="G299">
        <v>-26044.78</v>
      </c>
      <c r="H299" t="str" cm="1">
        <f t="array" ref="H299">_xlfn.IFS(G299 &gt; 0,"Positive", G299 &lt; 0, "Negative", G299 = 0, "First Order")</f>
        <v>Negative</v>
      </c>
    </row>
    <row r="300" spans="1:8" x14ac:dyDescent="0.35">
      <c r="A300" t="s">
        <v>93</v>
      </c>
      <c r="B300">
        <v>10400</v>
      </c>
      <c r="C300" s="1">
        <v>38443</v>
      </c>
      <c r="D300">
        <v>3</v>
      </c>
      <c r="E300">
        <v>31755.34</v>
      </c>
      <c r="F300">
        <v>16753.3</v>
      </c>
      <c r="G300">
        <v>15002.04</v>
      </c>
      <c r="H300" t="str" cm="1">
        <f t="array" ref="H300">_xlfn.IFS(G300 &gt; 0,"Positive", G300 &lt; 0, "Negative", G300 = 0, "First Order")</f>
        <v>Positive</v>
      </c>
    </row>
    <row r="301" spans="1:8" x14ac:dyDescent="0.35">
      <c r="A301" t="s">
        <v>93</v>
      </c>
      <c r="B301">
        <v>10407</v>
      </c>
      <c r="C301" s="1">
        <v>38464</v>
      </c>
      <c r="D301">
        <v>4</v>
      </c>
      <c r="E301">
        <v>52229.55</v>
      </c>
      <c r="F301">
        <v>31755.34</v>
      </c>
      <c r="G301">
        <v>20474.21</v>
      </c>
      <c r="H301" t="str" cm="1">
        <f t="array" ref="H301">_xlfn.IFS(G301 &gt; 0,"Positive", G301 &lt; 0, "Negative", G301 = 0, "First Order")</f>
        <v>Positive</v>
      </c>
    </row>
    <row r="302" spans="1:8" x14ac:dyDescent="0.35">
      <c r="A302" t="s">
        <v>94</v>
      </c>
      <c r="B302">
        <v>10258</v>
      </c>
      <c r="C302" s="1">
        <v>38153</v>
      </c>
      <c r="D302">
        <v>1</v>
      </c>
      <c r="E302">
        <v>22037.91</v>
      </c>
      <c r="F302">
        <v>0</v>
      </c>
      <c r="G302">
        <v>0</v>
      </c>
      <c r="H302" t="str" cm="1">
        <f t="array" ref="H302">_xlfn.IFS(G302 &gt; 0,"Positive", G302 &lt; 0, "Negative", G302 = 0, "First Order")</f>
        <v>First Order</v>
      </c>
    </row>
    <row r="303" spans="1:8" x14ac:dyDescent="0.35">
      <c r="A303" t="s">
        <v>94</v>
      </c>
      <c r="B303">
        <v>10339</v>
      </c>
      <c r="C303" s="1">
        <v>38314</v>
      </c>
      <c r="D303">
        <v>2</v>
      </c>
      <c r="E303">
        <v>48927.64</v>
      </c>
      <c r="F303">
        <v>22037.91</v>
      </c>
      <c r="G303">
        <v>26889.73</v>
      </c>
      <c r="H303" t="str" cm="1">
        <f t="array" ref="H303">_xlfn.IFS(G303 &gt; 0,"Positive", G303 &lt; 0, "Negative", G303 = 0, "First Order")</f>
        <v>Positive</v>
      </c>
    </row>
    <row r="304" spans="1:8" x14ac:dyDescent="0.35">
      <c r="A304" t="s">
        <v>94</v>
      </c>
      <c r="B304">
        <v>10372</v>
      </c>
      <c r="C304" s="1">
        <v>38378</v>
      </c>
      <c r="D304">
        <v>3</v>
      </c>
      <c r="E304">
        <v>33967.730000000003</v>
      </c>
      <c r="F304">
        <v>48927.64</v>
      </c>
      <c r="G304">
        <v>-14959.91</v>
      </c>
      <c r="H304" t="str" cm="1">
        <f t="array" ref="H304">_xlfn.IFS(G304 &gt; 0,"Positive", G304 &lt; 0, "Negative", G304 = 0, "First Order")</f>
        <v>Negative</v>
      </c>
    </row>
    <row r="305" spans="1:8" x14ac:dyDescent="0.35">
      <c r="A305" t="s">
        <v>94</v>
      </c>
      <c r="B305">
        <v>10408</v>
      </c>
      <c r="C305" s="1">
        <v>38464</v>
      </c>
      <c r="D305">
        <v>4</v>
      </c>
      <c r="E305">
        <v>615.45000000000005</v>
      </c>
      <c r="F305">
        <v>33967.730000000003</v>
      </c>
      <c r="G305">
        <v>-33352.28</v>
      </c>
      <c r="H305" t="str" cm="1">
        <f t="array" ref="H305">_xlfn.IFS(G305 &gt; 0,"Positive", G305 &lt; 0, "Negative", G305 = 0, "First Order")</f>
        <v>Negative</v>
      </c>
    </row>
    <row r="306" spans="1:8" x14ac:dyDescent="0.35">
      <c r="A306" t="s">
        <v>95</v>
      </c>
      <c r="B306">
        <v>10191</v>
      </c>
      <c r="C306" s="1">
        <v>37945</v>
      </c>
      <c r="D306">
        <v>1</v>
      </c>
      <c r="E306">
        <v>27988.47</v>
      </c>
      <c r="F306">
        <v>0</v>
      </c>
      <c r="G306">
        <v>0</v>
      </c>
      <c r="H306" t="str" cm="1">
        <f t="array" ref="H306">_xlfn.IFS(G306 &gt; 0,"Positive", G306 &lt; 0, "Negative", G306 = 0, "First Order")</f>
        <v>First Order</v>
      </c>
    </row>
    <row r="307" spans="1:8" x14ac:dyDescent="0.35">
      <c r="A307" t="s">
        <v>95</v>
      </c>
      <c r="B307">
        <v>10310</v>
      </c>
      <c r="C307" s="1">
        <v>38276</v>
      </c>
      <c r="D307">
        <v>2</v>
      </c>
      <c r="E307">
        <v>61234.67</v>
      </c>
      <c r="F307">
        <v>27988.47</v>
      </c>
      <c r="G307">
        <v>33246.199999999997</v>
      </c>
      <c r="H307" t="str" cm="1">
        <f t="array" ref="H307">_xlfn.IFS(G307 &gt; 0,"Positive", G307 &lt; 0, "Negative", G307 = 0, "First Order")</f>
        <v>Positive</v>
      </c>
    </row>
    <row r="308" spans="1:8" x14ac:dyDescent="0.35">
      <c r="A308" t="s">
        <v>96</v>
      </c>
      <c r="B308">
        <v>10155</v>
      </c>
      <c r="C308" s="1">
        <v>37900</v>
      </c>
      <c r="D308">
        <v>1</v>
      </c>
      <c r="E308">
        <v>37602.480000000003</v>
      </c>
      <c r="F308">
        <v>0</v>
      </c>
      <c r="G308">
        <v>0</v>
      </c>
      <c r="H308" t="str" cm="1">
        <f t="array" ref="H308">_xlfn.IFS(G308 &gt; 0,"Positive", G308 &lt; 0, "Negative", G308 = 0, "First Order")</f>
        <v>First Order</v>
      </c>
    </row>
    <row r="309" spans="1:8" x14ac:dyDescent="0.35">
      <c r="A309" t="s">
        <v>96</v>
      </c>
      <c r="B309">
        <v>10299</v>
      </c>
      <c r="C309" s="1">
        <v>38260</v>
      </c>
      <c r="D309">
        <v>2</v>
      </c>
      <c r="E309">
        <v>34341.08</v>
      </c>
      <c r="F309">
        <v>37602.480000000003</v>
      </c>
      <c r="G309">
        <v>-3261.4</v>
      </c>
      <c r="H309" t="str" cm="1">
        <f t="array" ref="H309">_xlfn.IFS(G309 &gt; 0,"Positive", G309 &lt; 0, "Negative", G309 = 0, "First Order")</f>
        <v>Negative</v>
      </c>
    </row>
    <row r="310" spans="1:8" x14ac:dyDescent="0.35">
      <c r="A310" t="s">
        <v>96</v>
      </c>
      <c r="B310">
        <v>10377</v>
      </c>
      <c r="C310" s="1">
        <v>38392</v>
      </c>
      <c r="D310">
        <v>3</v>
      </c>
      <c r="E310">
        <v>23602.9</v>
      </c>
      <c r="F310">
        <v>34341.08</v>
      </c>
      <c r="G310">
        <v>-10738.18</v>
      </c>
      <c r="H310" t="str" cm="1">
        <f t="array" ref="H310">_xlfn.IFS(G310 &gt; 0,"Positive", G310 &lt; 0, "Negative", G310 = 0, "First Order")</f>
        <v>Negative</v>
      </c>
    </row>
    <row r="311" spans="1:8" x14ac:dyDescent="0.35">
      <c r="A311" t="s">
        <v>97</v>
      </c>
      <c r="B311">
        <v>10145</v>
      </c>
      <c r="C311" s="1">
        <v>37858</v>
      </c>
      <c r="D311">
        <v>1</v>
      </c>
      <c r="E311">
        <v>50342.74</v>
      </c>
      <c r="F311">
        <v>0</v>
      </c>
      <c r="G311">
        <v>0</v>
      </c>
      <c r="H311" t="str" cm="1">
        <f t="array" ref="H311">_xlfn.IFS(G311 &gt; 0,"Positive", G311 &lt; 0, "Negative", G311 = 0, "First Order")</f>
        <v>First Order</v>
      </c>
    </row>
    <row r="312" spans="1:8" x14ac:dyDescent="0.35">
      <c r="A312" t="s">
        <v>97</v>
      </c>
      <c r="B312">
        <v>10189</v>
      </c>
      <c r="C312" s="1">
        <v>37943</v>
      </c>
      <c r="D312">
        <v>2</v>
      </c>
      <c r="E312">
        <v>3879.96</v>
      </c>
      <c r="F312">
        <v>50342.74</v>
      </c>
      <c r="G312">
        <v>-46462.78</v>
      </c>
      <c r="H312" t="str" cm="1">
        <f t="array" ref="H312">_xlfn.IFS(G312 &gt; 0,"Positive", G312 &lt; 0, "Negative", G312 = 0, "First Order")</f>
        <v>Negative</v>
      </c>
    </row>
    <row r="313" spans="1:8" x14ac:dyDescent="0.35">
      <c r="A313" t="s">
        <v>97</v>
      </c>
      <c r="B313">
        <v>10367</v>
      </c>
      <c r="C313" s="1">
        <v>38364</v>
      </c>
      <c r="D313">
        <v>3</v>
      </c>
      <c r="E313">
        <v>39580.6</v>
      </c>
      <c r="F313">
        <v>3879.96</v>
      </c>
      <c r="G313">
        <v>35700.639999999999</v>
      </c>
      <c r="H313" t="str" cm="1">
        <f t="array" ref="H313">_xlfn.IFS(G313 &gt; 0,"Positive", G313 &lt; 0, "Negative", G313 = 0, "First Order")</f>
        <v>Positive</v>
      </c>
    </row>
    <row r="314" spans="1:8" x14ac:dyDescent="0.35">
      <c r="A314" t="s">
        <v>98</v>
      </c>
      <c r="B314">
        <v>10302</v>
      </c>
      <c r="C314" s="1">
        <v>37900</v>
      </c>
      <c r="D314">
        <v>1</v>
      </c>
      <c r="E314">
        <v>23908.240000000002</v>
      </c>
      <c r="F314">
        <v>0</v>
      </c>
      <c r="G314">
        <v>0</v>
      </c>
      <c r="H314" t="str" cm="1">
        <f t="array" ref="H314">_xlfn.IFS(G314 &gt; 0,"Positive", G314 &lt; 0, "Negative", G314 = 0, "First Order")</f>
        <v>First Order</v>
      </c>
    </row>
    <row r="315" spans="1:8" x14ac:dyDescent="0.35">
      <c r="A315" t="s">
        <v>98</v>
      </c>
      <c r="B315">
        <v>10253</v>
      </c>
      <c r="C315" s="1">
        <v>38139</v>
      </c>
      <c r="D315">
        <v>2</v>
      </c>
      <c r="E315">
        <v>45443.54</v>
      </c>
      <c r="F315">
        <v>23908.240000000002</v>
      </c>
      <c r="G315">
        <v>21535.3</v>
      </c>
      <c r="H315" t="str" cm="1">
        <f t="array" ref="H315">_xlfn.IFS(G315 &gt; 0,"Positive", G315 &lt; 0, "Negative", G315 = 0, "First Order")</f>
        <v>Positive</v>
      </c>
    </row>
    <row r="316" spans="1:8" x14ac:dyDescent="0.35">
      <c r="A316" t="s">
        <v>98</v>
      </c>
      <c r="B316">
        <v>10403</v>
      </c>
      <c r="C316" s="1">
        <v>38450</v>
      </c>
      <c r="D316">
        <v>3</v>
      </c>
      <c r="E316">
        <v>37258.94</v>
      </c>
      <c r="F316">
        <v>45443.54</v>
      </c>
      <c r="G316">
        <v>-8184.6</v>
      </c>
      <c r="H316" t="str" cm="1">
        <f t="array" ref="H316">_xlfn.IFS(G316 &gt; 0,"Positive", G316 &lt; 0, "Negative", G316 = 0, "First Order")</f>
        <v>Negative</v>
      </c>
    </row>
    <row r="317" spans="1:8" x14ac:dyDescent="0.35">
      <c r="A317" t="s">
        <v>99</v>
      </c>
      <c r="B317">
        <v>10225</v>
      </c>
      <c r="C317" s="1">
        <v>38039</v>
      </c>
      <c r="D317">
        <v>1</v>
      </c>
      <c r="E317">
        <v>47375.92</v>
      </c>
      <c r="F317">
        <v>0</v>
      </c>
      <c r="G317">
        <v>0</v>
      </c>
      <c r="H317" t="str" cm="1">
        <f t="array" ref="H317">_xlfn.IFS(G317 &gt; 0,"Positive", G317 &lt; 0, "Negative", G317 = 0, "First Order")</f>
        <v>First Order</v>
      </c>
    </row>
    <row r="318" spans="1:8" x14ac:dyDescent="0.35">
      <c r="A318" t="s">
        <v>99</v>
      </c>
      <c r="B318">
        <v>10287</v>
      </c>
      <c r="C318" s="1">
        <v>38229</v>
      </c>
      <c r="D318">
        <v>2</v>
      </c>
      <c r="E318">
        <v>61402</v>
      </c>
      <c r="F318">
        <v>47375.92</v>
      </c>
      <c r="G318">
        <v>14026.08</v>
      </c>
      <c r="H318" t="str" cm="1">
        <f t="array" ref="H318">_xlfn.IFS(G318 &gt; 0,"Positive", G318 &lt; 0, "Negative", G318 = 0, "First Order")</f>
        <v>Positive</v>
      </c>
    </row>
    <row r="319" spans="1:8" x14ac:dyDescent="0.35">
      <c r="A319" t="s">
        <v>100</v>
      </c>
      <c r="B319">
        <v>10102</v>
      </c>
      <c r="C319" s="1">
        <v>37631</v>
      </c>
      <c r="D319">
        <v>1</v>
      </c>
      <c r="E319">
        <v>5494.78</v>
      </c>
      <c r="F319">
        <v>0</v>
      </c>
      <c r="G319">
        <v>0</v>
      </c>
      <c r="H319" t="str" cm="1">
        <f t="array" ref="H319">_xlfn.IFS(G319 &gt; 0,"Positive", G319 &lt; 0, "Negative", G319 = 0, "First Order")</f>
        <v>First Order</v>
      </c>
    </row>
    <row r="320" spans="1:8" x14ac:dyDescent="0.35">
      <c r="A320" t="s">
        <v>100</v>
      </c>
      <c r="B320">
        <v>10237</v>
      </c>
      <c r="C320" s="1">
        <v>38082</v>
      </c>
      <c r="D320">
        <v>2</v>
      </c>
      <c r="E320">
        <v>22602.36</v>
      </c>
      <c r="F320">
        <v>5494.78</v>
      </c>
      <c r="G320">
        <v>17107.580000000002</v>
      </c>
      <c r="H320" t="str" cm="1">
        <f t="array" ref="H320">_xlfn.IFS(G320 &gt; 0,"Positive", G320 &lt; 0, "Negative", G320 = 0, "First Order")</f>
        <v>Positive</v>
      </c>
    </row>
    <row r="321" spans="1:8" x14ac:dyDescent="0.35">
      <c r="A321" t="s">
        <v>100</v>
      </c>
      <c r="B321">
        <v>10324</v>
      </c>
      <c r="C321" s="1">
        <v>38296</v>
      </c>
      <c r="D321">
        <v>3</v>
      </c>
      <c r="E321">
        <v>44400.5</v>
      </c>
      <c r="F321">
        <v>22602.36</v>
      </c>
      <c r="G321">
        <v>21798.14</v>
      </c>
      <c r="H321" t="str" cm="1">
        <f t="array" ref="H321">_xlfn.IFS(G321 &gt; 0,"Positive", G321 &lt; 0, "Negative", G321 = 0, "First Order")</f>
        <v>Positive</v>
      </c>
    </row>
    <row r="322" spans="1:8" x14ac:dyDescent="0.35">
      <c r="A322" t="s">
        <v>101</v>
      </c>
      <c r="B322">
        <v>10112</v>
      </c>
      <c r="C322" s="1">
        <v>37704</v>
      </c>
      <c r="D322">
        <v>1</v>
      </c>
      <c r="E322">
        <v>7674.94</v>
      </c>
      <c r="F322">
        <v>0</v>
      </c>
      <c r="G322">
        <v>0</v>
      </c>
      <c r="H322" t="str" cm="1">
        <f t="array" ref="H322">_xlfn.IFS(G322 &gt; 0,"Positive", G322 &lt; 0, "Negative", G322 = 0, "First Order")</f>
        <v>First Order</v>
      </c>
    </row>
    <row r="323" spans="1:8" x14ac:dyDescent="0.35">
      <c r="A323" t="s">
        <v>101</v>
      </c>
      <c r="B323">
        <v>10320</v>
      </c>
      <c r="C323" s="1">
        <v>38294</v>
      </c>
      <c r="D323">
        <v>2</v>
      </c>
      <c r="E323">
        <v>16799.03</v>
      </c>
      <c r="F323">
        <v>7674.94</v>
      </c>
      <c r="G323">
        <v>9124.09</v>
      </c>
      <c r="H323" t="str" cm="1">
        <f t="array" ref="H323">_xlfn.IFS(G323 &gt; 0,"Positive", G323 &lt; 0, "Negative", G323 = 0, "First Order")</f>
        <v>Positive</v>
      </c>
    </row>
    <row r="324" spans="1:8" x14ac:dyDescent="0.35">
      <c r="A324" t="s">
        <v>101</v>
      </c>
      <c r="B324">
        <v>10326</v>
      </c>
      <c r="C324" s="1">
        <v>38300</v>
      </c>
      <c r="D324">
        <v>3</v>
      </c>
      <c r="E324">
        <v>19206.68</v>
      </c>
      <c r="F324">
        <v>16799.03</v>
      </c>
      <c r="G324">
        <v>2407.65</v>
      </c>
      <c r="H324" t="str" cm="1">
        <f t="array" ref="H324">_xlfn.IFS(G324 &gt; 0,"Positive", G324 &lt; 0, "Negative", G324 = 0, "First Order")</f>
        <v>Positive</v>
      </c>
    </row>
    <row r="325" spans="1:8" x14ac:dyDescent="0.35">
      <c r="A325" t="s">
        <v>101</v>
      </c>
      <c r="B325">
        <v>10334</v>
      </c>
      <c r="C325" s="1">
        <v>38310</v>
      </c>
      <c r="D325">
        <v>4</v>
      </c>
      <c r="E325">
        <v>23014.17</v>
      </c>
      <c r="F325">
        <v>19206.68</v>
      </c>
      <c r="G325">
        <v>3807.49</v>
      </c>
      <c r="H325" t="str" cm="1">
        <f t="array" ref="H325">_xlfn.IFS(G325 &gt; 0,"Positive", G325 &lt; 0, "Negative", G325 = 0, "First Order")</f>
        <v>Positive</v>
      </c>
    </row>
    <row r="326" spans="1:8" x14ac:dyDescent="0.35">
      <c r="A326" t="s">
        <v>102</v>
      </c>
      <c r="B326">
        <v>10199</v>
      </c>
      <c r="C326" s="1">
        <v>37956</v>
      </c>
      <c r="D326">
        <v>1</v>
      </c>
      <c r="E326">
        <v>7678.25</v>
      </c>
      <c r="F326">
        <v>0</v>
      </c>
      <c r="G326">
        <v>0</v>
      </c>
      <c r="H326" t="str" cm="1">
        <f t="array" ref="H326">_xlfn.IFS(G326 &gt; 0,"Positive", G326 &lt; 0, "Negative", G326 = 0, "First Order")</f>
        <v>First Order</v>
      </c>
    </row>
    <row r="327" spans="1:8" x14ac:dyDescent="0.35">
      <c r="A327" t="s">
        <v>102</v>
      </c>
      <c r="B327">
        <v>10215</v>
      </c>
      <c r="C327" s="1">
        <v>38015</v>
      </c>
      <c r="D327">
        <v>2</v>
      </c>
      <c r="E327">
        <v>36070.47</v>
      </c>
      <c r="F327">
        <v>7678.25</v>
      </c>
      <c r="G327">
        <v>28392.22</v>
      </c>
      <c r="H327" t="str" cm="1">
        <f t="array" ref="H327">_xlfn.IFS(G327 &gt; 0,"Positive", G327 &lt; 0, "Negative", G327 = 0, "First Order")</f>
        <v>Positive</v>
      </c>
    </row>
  </sheetData>
  <conditionalFormatting sqref="H2:H327">
    <cfRule type="containsText" dxfId="48" priority="1" operator="containsText" text="First Order">
      <formula>NOT(ISERROR(SEARCH("First Order",H2)))</formula>
    </cfRule>
    <cfRule type="containsText" dxfId="47" priority="2" operator="containsText" text="positive">
      <formula>NOT(ISERROR(SEARCH("positive",H2)))</formula>
    </cfRule>
    <cfRule type="containsText" dxfId="46" priority="3" operator="containsText" text="negative">
      <formula>NOT(ISERROR(SEARCH("negative",H2)))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CF616-D4DE-4774-BA7F-C124985F3E08}">
  <dimension ref="B3:M106"/>
  <sheetViews>
    <sheetView showGridLines="0" workbookViewId="0">
      <selection activeCell="H23" sqref="H23"/>
    </sheetView>
  </sheetViews>
  <sheetFormatPr defaultRowHeight="14.5" x14ac:dyDescent="0.35"/>
  <cols>
    <col min="1" max="1" width="9" customWidth="1"/>
    <col min="2" max="2" width="17.81640625" bestFit="1" customWidth="1"/>
    <col min="3" max="3" width="25.81640625" style="5" bestFit="1" customWidth="1"/>
    <col min="4" max="4" width="5.26953125" customWidth="1"/>
    <col min="5" max="5" width="28.1796875" bestFit="1" customWidth="1"/>
    <col min="6" max="6" width="19.1796875" bestFit="1" customWidth="1"/>
    <col min="7" max="7" width="16.54296875" bestFit="1" customWidth="1"/>
    <col min="8" max="8" width="21.81640625" bestFit="1" customWidth="1"/>
    <col min="9" max="9" width="14.6328125" bestFit="1" customWidth="1"/>
    <col min="10" max="10" width="7.90625" customWidth="1"/>
    <col min="11" max="11" width="29" bestFit="1" customWidth="1"/>
    <col min="12" max="12" width="15.54296875" bestFit="1" customWidth="1"/>
    <col min="13" max="13" width="19.81640625" bestFit="1" customWidth="1"/>
    <col min="14" max="14" width="16" bestFit="1" customWidth="1"/>
  </cols>
  <sheetData>
    <row r="3" spans="2:13" x14ac:dyDescent="0.35">
      <c r="B3" s="9" t="s">
        <v>114</v>
      </c>
      <c r="C3" s="9"/>
      <c r="E3" s="9" t="s">
        <v>119</v>
      </c>
      <c r="F3" s="9"/>
      <c r="G3" s="9"/>
      <c r="H3" s="9"/>
      <c r="I3" s="9"/>
      <c r="K3" s="9" t="s">
        <v>116</v>
      </c>
      <c r="L3" s="9"/>
      <c r="M3" s="9"/>
    </row>
    <row r="4" spans="2:13" x14ac:dyDescent="0.35">
      <c r="B4" s="9"/>
      <c r="C4" s="9"/>
      <c r="E4" s="9"/>
      <c r="F4" s="9"/>
      <c r="G4" s="9"/>
      <c r="H4" s="9"/>
      <c r="I4" s="9"/>
      <c r="K4" s="9"/>
      <c r="L4" s="9"/>
      <c r="M4" s="9"/>
    </row>
    <row r="5" spans="2:13" ht="15.5" customHeight="1" x14ac:dyDescent="0.35">
      <c r="K5" s="11"/>
      <c r="L5" s="11"/>
      <c r="M5" s="11"/>
    </row>
    <row r="6" spans="2:13" ht="15.5" customHeight="1" x14ac:dyDescent="0.35">
      <c r="B6" s="6" t="s">
        <v>0</v>
      </c>
      <c r="C6" t="s">
        <v>104</v>
      </c>
      <c r="E6" s="2" t="s">
        <v>103</v>
      </c>
      <c r="F6" s="3">
        <v>2</v>
      </c>
      <c r="K6" s="11"/>
      <c r="L6" s="11"/>
      <c r="M6" s="11"/>
    </row>
    <row r="7" spans="2:13" x14ac:dyDescent="0.35">
      <c r="C7"/>
    </row>
    <row r="8" spans="2:13" x14ac:dyDescent="0.35">
      <c r="B8" s="2" t="s">
        <v>111</v>
      </c>
      <c r="C8" s="4" t="s">
        <v>113</v>
      </c>
      <c r="E8" s="2" t="s">
        <v>109</v>
      </c>
      <c r="F8" t="s">
        <v>108</v>
      </c>
      <c r="G8" t="s">
        <v>106</v>
      </c>
      <c r="H8" t="s">
        <v>120</v>
      </c>
      <c r="I8" s="8" t="s">
        <v>110</v>
      </c>
      <c r="K8" s="2" t="s">
        <v>109</v>
      </c>
      <c r="L8" s="8" t="s">
        <v>111</v>
      </c>
      <c r="M8" s="8" t="s">
        <v>112</v>
      </c>
    </row>
    <row r="9" spans="2:13" x14ac:dyDescent="0.35">
      <c r="B9" s="3">
        <v>1</v>
      </c>
      <c r="C9" s="4">
        <v>0</v>
      </c>
      <c r="E9" s="3" t="s">
        <v>62</v>
      </c>
      <c r="F9" s="4">
        <v>27550.51</v>
      </c>
      <c r="G9" s="4">
        <v>1679.92</v>
      </c>
      <c r="H9" s="4">
        <v>25870.59</v>
      </c>
      <c r="I9" s="7">
        <v>15.399894042573454</v>
      </c>
      <c r="K9" s="3" t="s">
        <v>39</v>
      </c>
      <c r="L9" s="10">
        <v>26</v>
      </c>
      <c r="M9" s="4">
        <v>820689.54</v>
      </c>
    </row>
    <row r="10" spans="2:13" x14ac:dyDescent="0.35">
      <c r="B10" s="3">
        <v>2</v>
      </c>
      <c r="C10" s="4">
        <v>-2648.3557731958763</v>
      </c>
      <c r="E10" s="3" t="s">
        <v>38</v>
      </c>
      <c r="F10" s="4">
        <v>40473.86</v>
      </c>
      <c r="G10" s="4">
        <v>3101.4</v>
      </c>
      <c r="H10" s="4">
        <v>37372.46</v>
      </c>
      <c r="I10" s="7">
        <v>12.05019023666731</v>
      </c>
      <c r="K10" s="3" t="s">
        <v>67</v>
      </c>
      <c r="L10" s="10">
        <v>17</v>
      </c>
      <c r="M10" s="4">
        <v>591827.34</v>
      </c>
    </row>
    <row r="11" spans="2:13" x14ac:dyDescent="0.35">
      <c r="B11" s="3">
        <v>3</v>
      </c>
      <c r="C11" s="4">
        <v>879.68522388059682</v>
      </c>
      <c r="E11" s="3" t="s">
        <v>36</v>
      </c>
      <c r="F11" s="4">
        <v>37281.360000000001</v>
      </c>
      <c r="G11" s="4">
        <v>2880</v>
      </c>
      <c r="H11" s="4">
        <v>34401.360000000001</v>
      </c>
      <c r="I11" s="7">
        <v>11.944916666666668</v>
      </c>
      <c r="K11" s="3" t="s">
        <v>10</v>
      </c>
      <c r="L11" s="10">
        <v>5</v>
      </c>
      <c r="M11" s="4">
        <v>180585.07</v>
      </c>
    </row>
    <row r="12" spans="2:13" x14ac:dyDescent="0.35">
      <c r="B12" s="3">
        <v>4</v>
      </c>
      <c r="C12" s="4">
        <v>-3971.3741666666679</v>
      </c>
      <c r="E12" s="3" t="s">
        <v>13</v>
      </c>
      <c r="F12" s="4">
        <v>53116.99</v>
      </c>
      <c r="G12" s="4">
        <v>5759.42</v>
      </c>
      <c r="H12" s="4">
        <v>47357.57</v>
      </c>
      <c r="I12" s="7">
        <v>8.2226283202127988</v>
      </c>
      <c r="K12" s="3" t="s">
        <v>70</v>
      </c>
      <c r="L12" s="10">
        <v>4</v>
      </c>
      <c r="M12" s="4">
        <v>177913.95</v>
      </c>
    </row>
    <row r="13" spans="2:13" x14ac:dyDescent="0.35">
      <c r="B13" s="3">
        <v>5</v>
      </c>
      <c r="C13" s="4">
        <v>-2351.0871428571431</v>
      </c>
      <c r="E13" s="3" t="s">
        <v>72</v>
      </c>
      <c r="F13" s="4">
        <v>55425.77</v>
      </c>
      <c r="G13" s="4">
        <v>10223.83</v>
      </c>
      <c r="H13" s="4">
        <v>45201.94</v>
      </c>
      <c r="I13" s="7">
        <v>4.4212335299002428</v>
      </c>
      <c r="K13" s="3" t="s">
        <v>56</v>
      </c>
      <c r="L13" s="10">
        <v>4</v>
      </c>
      <c r="M13" s="4">
        <v>158573.12</v>
      </c>
    </row>
    <row r="14" spans="2:13" x14ac:dyDescent="0.35">
      <c r="B14" s="3">
        <v>6</v>
      </c>
      <c r="C14" s="4">
        <v>91.965000000000146</v>
      </c>
      <c r="E14" s="3" t="s">
        <v>67</v>
      </c>
      <c r="F14" s="4">
        <v>55601.84</v>
      </c>
      <c r="G14" s="4">
        <v>11044.3</v>
      </c>
      <c r="H14" s="4">
        <v>44557.54</v>
      </c>
      <c r="I14" s="7">
        <v>4.0344376737321515</v>
      </c>
      <c r="K14" s="3" t="s">
        <v>37</v>
      </c>
      <c r="L14" s="10">
        <v>5</v>
      </c>
      <c r="M14" s="4">
        <v>156251.03000000003</v>
      </c>
    </row>
    <row r="15" spans="2:13" x14ac:dyDescent="0.35">
      <c r="B15" s="3">
        <v>7</v>
      </c>
      <c r="C15" s="4">
        <v>19944.879999999997</v>
      </c>
      <c r="E15" s="3" t="s">
        <v>42</v>
      </c>
      <c r="F15" s="4">
        <v>48355.87</v>
      </c>
      <c r="G15" s="4">
        <v>9977.85</v>
      </c>
      <c r="H15" s="4">
        <v>38378.019999999997</v>
      </c>
      <c r="I15" s="7">
        <v>3.8463216023492039</v>
      </c>
      <c r="K15" s="3" t="s">
        <v>36</v>
      </c>
      <c r="L15" s="10">
        <v>5</v>
      </c>
      <c r="M15" s="4">
        <v>154622.07999999999</v>
      </c>
    </row>
    <row r="16" spans="2:13" x14ac:dyDescent="0.35">
      <c r="B16" s="3">
        <v>8</v>
      </c>
      <c r="C16" s="4">
        <v>-9671.8449999999993</v>
      </c>
      <c r="E16" s="3" t="s">
        <v>102</v>
      </c>
      <c r="F16" s="4">
        <v>36070.47</v>
      </c>
      <c r="G16" s="4">
        <v>7678.25</v>
      </c>
      <c r="H16" s="4">
        <v>28392.22</v>
      </c>
      <c r="I16" s="7">
        <v>3.6977462312375868</v>
      </c>
      <c r="K16" s="3" t="s">
        <v>57</v>
      </c>
      <c r="L16" s="10">
        <v>4</v>
      </c>
      <c r="M16" s="4">
        <v>149085.15</v>
      </c>
    </row>
    <row r="17" spans="2:13" x14ac:dyDescent="0.35">
      <c r="B17" s="3">
        <v>9</v>
      </c>
      <c r="C17" s="4">
        <v>-1200.9150000000009</v>
      </c>
      <c r="E17" s="3" t="s">
        <v>92</v>
      </c>
      <c r="F17" s="4">
        <v>31102.85</v>
      </c>
      <c r="G17" s="4">
        <v>7178.66</v>
      </c>
      <c r="H17" s="4">
        <v>23924.19</v>
      </c>
      <c r="I17" s="7">
        <v>3.3326818654177797</v>
      </c>
      <c r="K17" s="3" t="s">
        <v>15</v>
      </c>
      <c r="L17" s="10">
        <v>3</v>
      </c>
      <c r="M17" s="4">
        <v>148410.09000000003</v>
      </c>
    </row>
    <row r="18" spans="2:13" x14ac:dyDescent="0.35">
      <c r="B18" s="3">
        <v>10</v>
      </c>
      <c r="C18" s="4">
        <v>267.59000000000015</v>
      </c>
      <c r="E18" s="3" t="s">
        <v>100</v>
      </c>
      <c r="F18" s="4">
        <v>22602.36</v>
      </c>
      <c r="G18" s="4">
        <v>5494.78</v>
      </c>
      <c r="H18" s="4">
        <v>17107.580000000002</v>
      </c>
      <c r="I18" s="7">
        <v>3.113424013336294</v>
      </c>
      <c r="K18" s="3" t="s">
        <v>93</v>
      </c>
      <c r="L18" s="10">
        <v>4</v>
      </c>
      <c r="M18" s="4">
        <v>143536.27000000002</v>
      </c>
    </row>
    <row r="19" spans="2:13" x14ac:dyDescent="0.35">
      <c r="B19" s="3">
        <v>11</v>
      </c>
      <c r="C19" s="4">
        <v>-8768.34</v>
      </c>
      <c r="E19" s="3" t="s">
        <v>76</v>
      </c>
      <c r="F19" s="4">
        <v>45352.47</v>
      </c>
      <c r="G19" s="4">
        <v>16901.38</v>
      </c>
      <c r="H19" s="4">
        <v>28451.09</v>
      </c>
      <c r="I19" s="7">
        <v>1.6833589919876364</v>
      </c>
      <c r="K19" s="3" t="s">
        <v>82</v>
      </c>
      <c r="L19" s="10">
        <v>4</v>
      </c>
      <c r="M19" s="4">
        <v>137480.07</v>
      </c>
    </row>
    <row r="20" spans="2:13" x14ac:dyDescent="0.35">
      <c r="B20" s="3">
        <v>12</v>
      </c>
      <c r="C20" s="4">
        <v>16453.705000000002</v>
      </c>
      <c r="E20" s="3" t="s">
        <v>11</v>
      </c>
      <c r="F20" s="4">
        <v>23936.53</v>
      </c>
      <c r="G20" s="4">
        <v>9821.32</v>
      </c>
      <c r="H20" s="4">
        <v>14115.21</v>
      </c>
      <c r="I20" s="7">
        <v>1.4372009057845585</v>
      </c>
      <c r="K20" s="3" t="s">
        <v>52</v>
      </c>
      <c r="L20" s="10">
        <v>4</v>
      </c>
      <c r="M20" s="4">
        <v>137460.78999999998</v>
      </c>
    </row>
    <row r="21" spans="2:13" x14ac:dyDescent="0.35">
      <c r="B21" s="3">
        <v>13</v>
      </c>
      <c r="C21" s="4">
        <v>-7213.8900000000012</v>
      </c>
      <c r="E21" s="3" t="s">
        <v>5</v>
      </c>
      <c r="F21" s="4">
        <v>33818.339999999997</v>
      </c>
      <c r="G21" s="4">
        <v>14232.7</v>
      </c>
      <c r="H21" s="4">
        <v>19585.64</v>
      </c>
      <c r="I21" s="7">
        <v>1.3761015127136802</v>
      </c>
      <c r="K21" s="3" t="s">
        <v>7</v>
      </c>
      <c r="L21" s="10">
        <v>4</v>
      </c>
      <c r="M21" s="4">
        <v>137034.22</v>
      </c>
    </row>
    <row r="22" spans="2:13" x14ac:dyDescent="0.35">
      <c r="B22" s="3">
        <v>14</v>
      </c>
      <c r="C22" s="4">
        <v>-13584.014999999999</v>
      </c>
      <c r="E22" s="3" t="s">
        <v>18</v>
      </c>
      <c r="F22" s="4">
        <v>24101.81</v>
      </c>
      <c r="G22" s="4">
        <v>10549.01</v>
      </c>
      <c r="H22" s="4">
        <v>13552.8</v>
      </c>
      <c r="I22" s="7">
        <v>1.284746151534599</v>
      </c>
      <c r="K22" s="3" t="s">
        <v>87</v>
      </c>
      <c r="L22" s="10">
        <v>4</v>
      </c>
      <c r="M22" s="4">
        <v>133907.12</v>
      </c>
    </row>
    <row r="23" spans="2:13" x14ac:dyDescent="0.35">
      <c r="B23" s="3">
        <v>15</v>
      </c>
      <c r="C23" s="4">
        <v>30894.285</v>
      </c>
      <c r="E23" s="3" t="s">
        <v>94</v>
      </c>
      <c r="F23" s="4">
        <v>48927.64</v>
      </c>
      <c r="G23" s="4">
        <v>22037.91</v>
      </c>
      <c r="H23" s="4">
        <v>26889.73</v>
      </c>
      <c r="I23" s="7">
        <v>1.2201579006357681</v>
      </c>
      <c r="K23" s="3" t="s">
        <v>28</v>
      </c>
      <c r="L23" s="10">
        <v>4</v>
      </c>
      <c r="M23" s="4">
        <v>132340.78</v>
      </c>
    </row>
    <row r="24" spans="2:13" x14ac:dyDescent="0.35">
      <c r="B24" s="3">
        <v>16</v>
      </c>
      <c r="C24" s="4">
        <v>-24585.17</v>
      </c>
      <c r="E24" s="3" t="s">
        <v>101</v>
      </c>
      <c r="F24" s="4">
        <v>16799.03</v>
      </c>
      <c r="G24" s="4">
        <v>7674.94</v>
      </c>
      <c r="H24" s="4">
        <v>9124.09</v>
      </c>
      <c r="I24" s="7">
        <v>1.1888158083320521</v>
      </c>
      <c r="K24" s="3" t="s">
        <v>83</v>
      </c>
      <c r="L24" s="10">
        <v>3</v>
      </c>
      <c r="M24" s="4">
        <v>130305.35</v>
      </c>
    </row>
    <row r="25" spans="2:13" x14ac:dyDescent="0.35">
      <c r="B25" s="3">
        <v>17</v>
      </c>
      <c r="C25" s="4">
        <v>-700.3799999999992</v>
      </c>
      <c r="E25" s="3" t="s">
        <v>95</v>
      </c>
      <c r="F25" s="4">
        <v>61234.67</v>
      </c>
      <c r="G25" s="4">
        <v>27988.47</v>
      </c>
      <c r="H25" s="4">
        <v>33246.199999999997</v>
      </c>
      <c r="I25" s="7">
        <v>1.1878534267861014</v>
      </c>
      <c r="K25" s="3" t="s">
        <v>32</v>
      </c>
      <c r="L25" s="10">
        <v>5</v>
      </c>
      <c r="M25" s="4">
        <v>129085.12</v>
      </c>
    </row>
    <row r="26" spans="2:13" x14ac:dyDescent="0.35">
      <c r="B26" s="3">
        <v>18</v>
      </c>
      <c r="C26" s="4">
        <v>-27564.19</v>
      </c>
      <c r="E26" s="3" t="s">
        <v>48</v>
      </c>
      <c r="F26" s="4">
        <v>44160.92</v>
      </c>
      <c r="G26" s="4">
        <v>22474.17</v>
      </c>
      <c r="H26" s="4">
        <v>21686.75</v>
      </c>
      <c r="I26" s="7">
        <v>0.9649633334623704</v>
      </c>
      <c r="K26" s="3" t="s">
        <v>79</v>
      </c>
      <c r="L26" s="10">
        <v>3</v>
      </c>
      <c r="M26" s="4">
        <v>127529.69</v>
      </c>
    </row>
    <row r="27" spans="2:13" x14ac:dyDescent="0.35">
      <c r="B27" s="3">
        <v>19</v>
      </c>
      <c r="C27" s="4">
        <v>15667.85</v>
      </c>
      <c r="E27" s="3" t="s">
        <v>98</v>
      </c>
      <c r="F27" s="4">
        <v>45443.54</v>
      </c>
      <c r="G27" s="4">
        <v>23908.240000000002</v>
      </c>
      <c r="H27" s="4">
        <v>21535.3</v>
      </c>
      <c r="I27" s="7">
        <v>0.90074802662178388</v>
      </c>
      <c r="K27" s="3" t="s">
        <v>78</v>
      </c>
      <c r="L27" s="10">
        <v>5</v>
      </c>
      <c r="M27" s="4">
        <v>126983.19</v>
      </c>
    </row>
    <row r="28" spans="2:13" x14ac:dyDescent="0.35">
      <c r="B28" s="3">
        <v>20</v>
      </c>
      <c r="C28" s="4">
        <v>2115.09</v>
      </c>
      <c r="E28" s="3" t="s">
        <v>46</v>
      </c>
      <c r="F28" s="4">
        <v>46788.14</v>
      </c>
      <c r="G28" s="4">
        <v>24995.61</v>
      </c>
      <c r="H28" s="4">
        <v>21792.53</v>
      </c>
      <c r="I28" s="7">
        <v>0.87185429761466104</v>
      </c>
      <c r="K28" s="3" t="s">
        <v>54</v>
      </c>
      <c r="L28" s="10">
        <v>3</v>
      </c>
      <c r="M28" s="4">
        <v>125505.57</v>
      </c>
    </row>
    <row r="29" spans="2:13" x14ac:dyDescent="0.35">
      <c r="B29" s="3">
        <v>21</v>
      </c>
      <c r="C29" s="4">
        <v>2447.77</v>
      </c>
      <c r="E29" s="3" t="s">
        <v>47</v>
      </c>
      <c r="F29" s="4">
        <v>37769.379999999997</v>
      </c>
      <c r="G29" s="4">
        <v>20220.04</v>
      </c>
      <c r="H29" s="4">
        <v>17549.34</v>
      </c>
      <c r="I29" s="7">
        <v>0.86791816435575775</v>
      </c>
      <c r="K29" s="3" t="s">
        <v>84</v>
      </c>
      <c r="L29" s="10">
        <v>3</v>
      </c>
      <c r="M29" s="4">
        <v>120943.53</v>
      </c>
    </row>
    <row r="30" spans="2:13" x14ac:dyDescent="0.35">
      <c r="B30" s="3">
        <v>22</v>
      </c>
      <c r="C30" s="4">
        <v>10116.540000000001</v>
      </c>
      <c r="E30" s="3" t="s">
        <v>57</v>
      </c>
      <c r="F30" s="4">
        <v>41445.21</v>
      </c>
      <c r="G30" s="4">
        <v>22292.62</v>
      </c>
      <c r="H30" s="4">
        <v>19152.59</v>
      </c>
      <c r="I30" s="7">
        <v>0.85914486498222287</v>
      </c>
      <c r="K30" s="3" t="s">
        <v>72</v>
      </c>
      <c r="L30" s="10">
        <v>3</v>
      </c>
      <c r="M30" s="4">
        <v>116449.29</v>
      </c>
    </row>
    <row r="31" spans="2:13" x14ac:dyDescent="0.35">
      <c r="B31" s="3">
        <v>23</v>
      </c>
      <c r="C31" s="4">
        <v>-28865.78</v>
      </c>
      <c r="E31" s="3" t="s">
        <v>43</v>
      </c>
      <c r="F31" s="4">
        <v>42044.77</v>
      </c>
      <c r="G31" s="4">
        <v>24879.08</v>
      </c>
      <c r="H31" s="4">
        <v>17165.689999999999</v>
      </c>
      <c r="I31" s="7">
        <v>0.68996482185032537</v>
      </c>
      <c r="K31" s="3" t="s">
        <v>29</v>
      </c>
      <c r="L31" s="10">
        <v>3</v>
      </c>
      <c r="M31" s="4">
        <v>112440.09</v>
      </c>
    </row>
    <row r="32" spans="2:13" x14ac:dyDescent="0.35">
      <c r="B32" s="3">
        <v>24</v>
      </c>
      <c r="C32" s="4">
        <v>28792.74</v>
      </c>
      <c r="E32" s="3" t="s">
        <v>33</v>
      </c>
      <c r="F32" s="4">
        <v>39641.43</v>
      </c>
      <c r="G32" s="4">
        <v>23715.7</v>
      </c>
      <c r="H32" s="4">
        <v>15925.73</v>
      </c>
      <c r="I32" s="7">
        <v>0.67152687881867279</v>
      </c>
      <c r="K32" s="3" t="s">
        <v>99</v>
      </c>
      <c r="L32" s="10">
        <v>2</v>
      </c>
      <c r="M32" s="4">
        <v>108777.92</v>
      </c>
    </row>
    <row r="33" spans="2:13" x14ac:dyDescent="0.35">
      <c r="B33" s="3">
        <v>25</v>
      </c>
      <c r="C33" s="4">
        <v>-18320.580000000002</v>
      </c>
      <c r="E33" s="3" t="s">
        <v>87</v>
      </c>
      <c r="F33" s="4">
        <v>35806.730000000003</v>
      </c>
      <c r="G33" s="4">
        <v>24013.52</v>
      </c>
      <c r="H33" s="4">
        <v>11793.21</v>
      </c>
      <c r="I33" s="7">
        <v>0.49110709300427435</v>
      </c>
      <c r="K33" s="3" t="s">
        <v>48</v>
      </c>
      <c r="L33" s="10">
        <v>4</v>
      </c>
      <c r="M33" s="4">
        <v>107746.75</v>
      </c>
    </row>
    <row r="34" spans="2:13" x14ac:dyDescent="0.35">
      <c r="B34" s="3">
        <v>26</v>
      </c>
      <c r="C34" s="4">
        <v>735.4</v>
      </c>
      <c r="E34" s="3" t="s">
        <v>49</v>
      </c>
      <c r="F34" s="4">
        <v>53745.34</v>
      </c>
      <c r="G34" s="4">
        <v>36164.46</v>
      </c>
      <c r="H34" s="4">
        <v>17580.88</v>
      </c>
      <c r="I34" s="7">
        <v>0.48613694218025094</v>
      </c>
      <c r="K34" s="3" t="s">
        <v>98</v>
      </c>
      <c r="L34" s="10">
        <v>3</v>
      </c>
      <c r="M34" s="4">
        <v>106610.72</v>
      </c>
    </row>
    <row r="35" spans="2:13" x14ac:dyDescent="0.35">
      <c r="C35"/>
      <c r="E35" s="3" t="s">
        <v>68</v>
      </c>
      <c r="F35" s="4">
        <v>23923.93</v>
      </c>
      <c r="G35" s="4">
        <v>16537.849999999999</v>
      </c>
      <c r="H35" s="4">
        <v>7386.08</v>
      </c>
      <c r="I35" s="7">
        <v>0.44661670047799457</v>
      </c>
      <c r="K35" s="3" t="s">
        <v>94</v>
      </c>
      <c r="L35" s="10">
        <v>4</v>
      </c>
      <c r="M35" s="4">
        <v>105548.73</v>
      </c>
    </row>
    <row r="36" spans="2:13" x14ac:dyDescent="0.35">
      <c r="C36"/>
      <c r="E36" s="3" t="s">
        <v>77</v>
      </c>
      <c r="F36" s="4">
        <v>22997.45</v>
      </c>
      <c r="G36" s="4">
        <v>16909.84</v>
      </c>
      <c r="H36" s="4">
        <v>6087.61</v>
      </c>
      <c r="I36" s="7">
        <v>0.36000399767236119</v>
      </c>
      <c r="K36" s="3" t="s">
        <v>91</v>
      </c>
      <c r="L36" s="10">
        <v>4</v>
      </c>
      <c r="M36" s="4">
        <v>104545.22</v>
      </c>
    </row>
    <row r="37" spans="2:13" x14ac:dyDescent="0.35">
      <c r="C37"/>
      <c r="E37" s="3" t="s">
        <v>54</v>
      </c>
      <c r="F37" s="4">
        <v>51619.02</v>
      </c>
      <c r="G37" s="4">
        <v>38524.29</v>
      </c>
      <c r="H37" s="4">
        <v>13094.73</v>
      </c>
      <c r="I37" s="7">
        <v>0.33990840583953646</v>
      </c>
      <c r="K37" s="3" t="s">
        <v>33</v>
      </c>
      <c r="L37" s="10">
        <v>4</v>
      </c>
      <c r="M37" s="4">
        <v>104358.69</v>
      </c>
    </row>
    <row r="38" spans="2:13" x14ac:dyDescent="0.35">
      <c r="C38"/>
      <c r="E38" s="3" t="s">
        <v>91</v>
      </c>
      <c r="F38" s="4">
        <v>50743.65</v>
      </c>
      <c r="G38" s="4">
        <v>38675.129999999997</v>
      </c>
      <c r="H38" s="4">
        <v>12068.52</v>
      </c>
      <c r="I38" s="7">
        <v>0.31204859557033177</v>
      </c>
      <c r="K38" s="3" t="s">
        <v>16</v>
      </c>
      <c r="L38" s="10">
        <v>4</v>
      </c>
      <c r="M38" s="4">
        <v>104224.79</v>
      </c>
    </row>
    <row r="39" spans="2:13" x14ac:dyDescent="0.35">
      <c r="C39"/>
      <c r="E39" s="3" t="s">
        <v>99</v>
      </c>
      <c r="F39" s="4">
        <v>61402</v>
      </c>
      <c r="G39" s="4">
        <v>47375.92</v>
      </c>
      <c r="H39" s="4">
        <v>14026.08</v>
      </c>
      <c r="I39" s="7">
        <v>0.29605926386231662</v>
      </c>
      <c r="K39" s="3" t="s">
        <v>89</v>
      </c>
      <c r="L39" s="10">
        <v>3</v>
      </c>
      <c r="M39" s="4">
        <v>103896.73999999999</v>
      </c>
    </row>
    <row r="40" spans="2:13" x14ac:dyDescent="0.35">
      <c r="C40"/>
      <c r="E40" s="3" t="s">
        <v>80</v>
      </c>
      <c r="F40" s="4">
        <v>37527.58</v>
      </c>
      <c r="G40" s="4">
        <v>29284.42</v>
      </c>
      <c r="H40" s="4">
        <v>8243.16</v>
      </c>
      <c r="I40" s="7">
        <v>0.28148619641433925</v>
      </c>
      <c r="K40" s="3" t="s">
        <v>66</v>
      </c>
      <c r="L40" s="10">
        <v>3</v>
      </c>
      <c r="M40" s="4">
        <v>101872.51999999999</v>
      </c>
    </row>
    <row r="41" spans="2:13" x14ac:dyDescent="0.35">
      <c r="C41"/>
      <c r="E41" s="3" t="s">
        <v>66</v>
      </c>
      <c r="F41" s="4">
        <v>52548.49</v>
      </c>
      <c r="G41" s="4">
        <v>41016.75</v>
      </c>
      <c r="H41" s="4">
        <v>11531.74</v>
      </c>
      <c r="I41" s="7">
        <v>0.28114709234641938</v>
      </c>
      <c r="K41" s="3" t="s">
        <v>50</v>
      </c>
      <c r="L41" s="10">
        <v>3</v>
      </c>
      <c r="M41" s="4">
        <v>97562.47</v>
      </c>
    </row>
    <row r="42" spans="2:13" x14ac:dyDescent="0.35">
      <c r="C42"/>
      <c r="E42" s="3" t="s">
        <v>88</v>
      </c>
      <c r="F42" s="4">
        <v>37455.769999999997</v>
      </c>
      <c r="G42" s="4">
        <v>29429.14</v>
      </c>
      <c r="H42" s="4">
        <v>8026.63</v>
      </c>
      <c r="I42" s="7">
        <v>0.27274429358112395</v>
      </c>
      <c r="K42" s="3" t="s">
        <v>75</v>
      </c>
      <c r="L42" s="10">
        <v>3</v>
      </c>
      <c r="M42" s="4">
        <v>95706.15</v>
      </c>
    </row>
    <row r="43" spans="2:13" x14ac:dyDescent="0.35">
      <c r="C43"/>
      <c r="E43" s="3" t="s">
        <v>83</v>
      </c>
      <c r="F43" s="4">
        <v>49614.720000000001</v>
      </c>
      <c r="G43" s="4">
        <v>39712.1</v>
      </c>
      <c r="H43" s="4">
        <v>9902.6200000000008</v>
      </c>
      <c r="I43" s="7">
        <v>0.24936027054726401</v>
      </c>
      <c r="K43" s="3" t="s">
        <v>96</v>
      </c>
      <c r="L43" s="10">
        <v>3</v>
      </c>
      <c r="M43" s="4">
        <v>95546.459999999992</v>
      </c>
    </row>
    <row r="44" spans="2:13" x14ac:dyDescent="0.35">
      <c r="C44"/>
      <c r="E44" s="3" t="s">
        <v>65</v>
      </c>
      <c r="F44" s="4">
        <v>42339.76</v>
      </c>
      <c r="G44" s="4">
        <v>36092.400000000001</v>
      </c>
      <c r="H44" s="4">
        <v>6247.36</v>
      </c>
      <c r="I44" s="7">
        <v>0.17309350444969024</v>
      </c>
      <c r="K44" s="3" t="s">
        <v>43</v>
      </c>
      <c r="L44" s="10">
        <v>3</v>
      </c>
      <c r="M44" s="4">
        <v>95424.63</v>
      </c>
    </row>
    <row r="45" spans="2:13" x14ac:dyDescent="0.35">
      <c r="C45"/>
      <c r="E45" s="3" t="s">
        <v>58</v>
      </c>
      <c r="F45" s="4">
        <v>26311.63</v>
      </c>
      <c r="G45" s="4">
        <v>23419.47</v>
      </c>
      <c r="H45" s="4">
        <v>2892.16</v>
      </c>
      <c r="I45" s="7">
        <v>0.12349382799866947</v>
      </c>
      <c r="K45" s="3" t="s">
        <v>47</v>
      </c>
      <c r="L45" s="10">
        <v>3</v>
      </c>
      <c r="M45" s="4">
        <v>94431.76</v>
      </c>
    </row>
    <row r="46" spans="2:13" x14ac:dyDescent="0.35">
      <c r="C46"/>
      <c r="E46" s="3" t="s">
        <v>40</v>
      </c>
      <c r="F46" s="4">
        <v>35034.57</v>
      </c>
      <c r="G46" s="4">
        <v>31670.37</v>
      </c>
      <c r="H46" s="4">
        <v>3364.2</v>
      </c>
      <c r="I46" s="7">
        <v>0.10622547194743859</v>
      </c>
      <c r="K46" s="3" t="s">
        <v>97</v>
      </c>
      <c r="L46" s="10">
        <v>3</v>
      </c>
      <c r="M46" s="4">
        <v>93803.299999999988</v>
      </c>
    </row>
    <row r="47" spans="2:13" x14ac:dyDescent="0.35">
      <c r="C47"/>
      <c r="E47" s="3" t="s">
        <v>84</v>
      </c>
      <c r="F47" s="4">
        <v>48809.9</v>
      </c>
      <c r="G47" s="4">
        <v>44167.09</v>
      </c>
      <c r="H47" s="4">
        <v>4642.8100000000004</v>
      </c>
      <c r="I47" s="7">
        <v>0.10511921885729862</v>
      </c>
      <c r="K47" s="3" t="s">
        <v>60</v>
      </c>
      <c r="L47" s="10">
        <v>2</v>
      </c>
      <c r="M47" s="4">
        <v>90545.37</v>
      </c>
    </row>
    <row r="48" spans="2:13" x14ac:dyDescent="0.35">
      <c r="C48"/>
      <c r="E48" s="3" t="s">
        <v>60</v>
      </c>
      <c r="F48" s="4">
        <v>47411.33</v>
      </c>
      <c r="G48" s="4">
        <v>43134.04</v>
      </c>
      <c r="H48" s="4">
        <v>4277.29</v>
      </c>
      <c r="I48" s="7">
        <v>9.9162749420179538E-2</v>
      </c>
      <c r="K48" s="3" t="s">
        <v>40</v>
      </c>
      <c r="L48" s="10">
        <v>3</v>
      </c>
      <c r="M48" s="4">
        <v>90332.38</v>
      </c>
    </row>
    <row r="49" spans="3:13" x14ac:dyDescent="0.35">
      <c r="C49"/>
      <c r="E49" s="3" t="s">
        <v>15</v>
      </c>
      <c r="F49" s="4">
        <v>52825.29</v>
      </c>
      <c r="G49" s="4">
        <v>48425.69</v>
      </c>
      <c r="H49" s="4">
        <v>4399.6000000000004</v>
      </c>
      <c r="I49" s="7">
        <v>9.0852603236009619E-2</v>
      </c>
      <c r="K49" s="3" t="s">
        <v>49</v>
      </c>
      <c r="L49" s="10">
        <v>2</v>
      </c>
      <c r="M49" s="4">
        <v>89909.799999999988</v>
      </c>
    </row>
    <row r="50" spans="3:13" x14ac:dyDescent="0.35">
      <c r="C50"/>
      <c r="E50" s="3" t="s">
        <v>61</v>
      </c>
      <c r="F50" s="4">
        <v>21053.69</v>
      </c>
      <c r="G50" s="4">
        <v>20452.5</v>
      </c>
      <c r="H50" s="4">
        <v>601.19000000000005</v>
      </c>
      <c r="I50" s="7">
        <v>2.9394450556166664E-2</v>
      </c>
      <c r="K50" s="3" t="s">
        <v>95</v>
      </c>
      <c r="L50" s="10">
        <v>2</v>
      </c>
      <c r="M50" s="4">
        <v>89223.14</v>
      </c>
    </row>
    <row r="51" spans="3:13" x14ac:dyDescent="0.35">
      <c r="C51"/>
      <c r="E51" s="3" t="s">
        <v>86</v>
      </c>
      <c r="F51" s="4">
        <v>33347.879999999997</v>
      </c>
      <c r="G51" s="4">
        <v>32641.98</v>
      </c>
      <c r="H51" s="4">
        <v>705.9</v>
      </c>
      <c r="I51" s="7">
        <v>2.1625526392700375E-2</v>
      </c>
      <c r="K51" s="3" t="s">
        <v>42</v>
      </c>
      <c r="L51" s="10">
        <v>3</v>
      </c>
      <c r="M51" s="4">
        <v>88627.49</v>
      </c>
    </row>
    <row r="52" spans="3:13" x14ac:dyDescent="0.35">
      <c r="C52"/>
      <c r="E52" s="3" t="s">
        <v>24</v>
      </c>
      <c r="F52" s="4">
        <v>22042.37</v>
      </c>
      <c r="G52" s="4">
        <v>21665.98</v>
      </c>
      <c r="H52" s="4">
        <v>376.39</v>
      </c>
      <c r="I52" s="7">
        <v>1.7372396725188494E-2</v>
      </c>
      <c r="K52" s="3" t="s">
        <v>30</v>
      </c>
      <c r="L52" s="10">
        <v>3</v>
      </c>
      <c r="M52" s="4">
        <v>87468.3</v>
      </c>
    </row>
    <row r="53" spans="3:13" x14ac:dyDescent="0.35">
      <c r="C53"/>
      <c r="E53" s="3" t="s">
        <v>70</v>
      </c>
      <c r="F53" s="4">
        <v>58793.53</v>
      </c>
      <c r="G53" s="4">
        <v>58841.35</v>
      </c>
      <c r="H53" s="4">
        <v>-47.82</v>
      </c>
      <c r="I53" s="7">
        <v>-8.1269379441497702E-4</v>
      </c>
      <c r="K53" s="3" t="s">
        <v>55</v>
      </c>
      <c r="L53" s="10">
        <v>3</v>
      </c>
      <c r="M53" s="4">
        <v>86553.52</v>
      </c>
    </row>
    <row r="54" spans="3:13" x14ac:dyDescent="0.35">
      <c r="C54"/>
      <c r="E54" s="3" t="s">
        <v>12</v>
      </c>
      <c r="F54" s="4">
        <v>5858.56</v>
      </c>
      <c r="G54" s="4">
        <v>6036.96</v>
      </c>
      <c r="H54" s="4">
        <v>-178.4</v>
      </c>
      <c r="I54" s="7">
        <v>-2.955129734170835E-2</v>
      </c>
      <c r="K54" s="3" t="s">
        <v>14</v>
      </c>
      <c r="L54" s="10">
        <v>3</v>
      </c>
      <c r="M54" s="4">
        <v>86436.97</v>
      </c>
    </row>
    <row r="55" spans="3:13" x14ac:dyDescent="0.35">
      <c r="C55"/>
      <c r="E55" s="3" t="s">
        <v>89</v>
      </c>
      <c r="F55" s="4">
        <v>28394.54</v>
      </c>
      <c r="G55" s="4">
        <v>29716.86</v>
      </c>
      <c r="H55" s="4">
        <v>-1322.32</v>
      </c>
      <c r="I55" s="7">
        <v>-4.4497298839783199E-2</v>
      </c>
      <c r="K55" s="3" t="s">
        <v>45</v>
      </c>
      <c r="L55" s="10">
        <v>3</v>
      </c>
      <c r="M55" s="4">
        <v>84340.32</v>
      </c>
    </row>
    <row r="56" spans="3:13" x14ac:dyDescent="0.35">
      <c r="C56"/>
      <c r="E56" s="3" t="s">
        <v>7</v>
      </c>
      <c r="F56" s="4">
        <v>38547.19</v>
      </c>
      <c r="G56" s="4">
        <v>41554.730000000003</v>
      </c>
      <c r="H56" s="4">
        <v>-3007.54</v>
      </c>
      <c r="I56" s="7">
        <v>-7.237539505129742E-2</v>
      </c>
      <c r="K56" s="3" t="s">
        <v>6</v>
      </c>
      <c r="L56" s="10">
        <v>2</v>
      </c>
      <c r="M56" s="4">
        <v>82223.23</v>
      </c>
    </row>
    <row r="57" spans="3:13" x14ac:dyDescent="0.35">
      <c r="C57"/>
      <c r="E57" s="3" t="s">
        <v>22</v>
      </c>
      <c r="F57" s="4">
        <v>33594.58</v>
      </c>
      <c r="G57" s="4">
        <v>36527.61</v>
      </c>
      <c r="H57" s="4">
        <v>-2933.03</v>
      </c>
      <c r="I57" s="7">
        <v>-8.0296247140176941E-2</v>
      </c>
      <c r="K57" s="3" t="s">
        <v>92</v>
      </c>
      <c r="L57" s="10">
        <v>3</v>
      </c>
      <c r="M57" s="4">
        <v>81806.549999999988</v>
      </c>
    </row>
    <row r="58" spans="3:13" x14ac:dyDescent="0.35">
      <c r="C58"/>
      <c r="E58" s="3" t="s">
        <v>96</v>
      </c>
      <c r="F58" s="4">
        <v>34341.08</v>
      </c>
      <c r="G58" s="4">
        <v>37602.480000000003</v>
      </c>
      <c r="H58" s="4">
        <v>-3261.4</v>
      </c>
      <c r="I58" s="7">
        <v>-8.6733640972616738E-2</v>
      </c>
      <c r="K58" s="3" t="s">
        <v>88</v>
      </c>
      <c r="L58" s="10">
        <v>3</v>
      </c>
      <c r="M58" s="4">
        <v>80556.73000000001</v>
      </c>
    </row>
    <row r="59" spans="3:13" x14ac:dyDescent="0.35">
      <c r="C59"/>
      <c r="E59" s="3" t="s">
        <v>71</v>
      </c>
      <c r="F59" s="4">
        <v>32260.16</v>
      </c>
      <c r="G59" s="4">
        <v>36798.879999999997</v>
      </c>
      <c r="H59" s="4">
        <v>-4538.72</v>
      </c>
      <c r="I59" s="7">
        <v>-0.12333853639023791</v>
      </c>
      <c r="K59" s="3" t="s">
        <v>26</v>
      </c>
      <c r="L59" s="10">
        <v>2</v>
      </c>
      <c r="M59" s="4">
        <v>80375.240000000005</v>
      </c>
    </row>
    <row r="60" spans="3:13" x14ac:dyDescent="0.35">
      <c r="C60"/>
      <c r="E60" s="3" t="s">
        <v>37</v>
      </c>
      <c r="F60" s="4">
        <v>38350.15</v>
      </c>
      <c r="G60" s="4">
        <v>44380.15</v>
      </c>
      <c r="H60" s="4">
        <v>-6030</v>
      </c>
      <c r="I60" s="7">
        <v>-0.13587155518852459</v>
      </c>
      <c r="K60" s="3" t="s">
        <v>86</v>
      </c>
      <c r="L60" s="10">
        <v>3</v>
      </c>
      <c r="M60" s="4">
        <v>80180.98</v>
      </c>
    </row>
    <row r="61" spans="3:13" x14ac:dyDescent="0.35">
      <c r="C61"/>
      <c r="E61" s="3" t="s">
        <v>90</v>
      </c>
      <c r="F61" s="4">
        <v>32239.47</v>
      </c>
      <c r="G61" s="4">
        <v>38139.18</v>
      </c>
      <c r="H61" s="4">
        <v>-5899.71</v>
      </c>
      <c r="I61" s="7">
        <v>-0.15468895765456936</v>
      </c>
      <c r="K61" s="3" t="s">
        <v>65</v>
      </c>
      <c r="L61" s="10">
        <v>2</v>
      </c>
      <c r="M61" s="4">
        <v>78432.160000000003</v>
      </c>
    </row>
    <row r="62" spans="3:13" x14ac:dyDescent="0.35">
      <c r="C62"/>
      <c r="E62" s="3" t="s">
        <v>78</v>
      </c>
      <c r="F62" s="4">
        <v>13920.26</v>
      </c>
      <c r="G62" s="4">
        <v>16700.47</v>
      </c>
      <c r="H62" s="4">
        <v>-2780.21</v>
      </c>
      <c r="I62" s="7">
        <v>-0.16647495549526456</v>
      </c>
      <c r="K62" s="3" t="s">
        <v>69</v>
      </c>
      <c r="L62" s="10">
        <v>3</v>
      </c>
      <c r="M62" s="4">
        <v>77726.59</v>
      </c>
    </row>
    <row r="63" spans="3:13" x14ac:dyDescent="0.35">
      <c r="C63"/>
      <c r="E63" s="3" t="s">
        <v>45</v>
      </c>
      <c r="F63" s="4">
        <v>15059.76</v>
      </c>
      <c r="G63" s="4">
        <v>18473.71</v>
      </c>
      <c r="H63" s="4">
        <v>-3413.95</v>
      </c>
      <c r="I63" s="7">
        <v>-0.18480045426717207</v>
      </c>
      <c r="K63" s="3" t="s">
        <v>18</v>
      </c>
      <c r="L63" s="10">
        <v>4</v>
      </c>
      <c r="M63" s="4">
        <v>75937.760000000009</v>
      </c>
    </row>
    <row r="64" spans="3:13" x14ac:dyDescent="0.35">
      <c r="C64"/>
      <c r="E64" s="3" t="s">
        <v>19</v>
      </c>
      <c r="F64" s="4">
        <v>3452.75</v>
      </c>
      <c r="G64" s="4">
        <v>4465.8500000000004</v>
      </c>
      <c r="H64" s="4">
        <v>-1013.1</v>
      </c>
      <c r="I64" s="7">
        <v>-0.22685491003952221</v>
      </c>
      <c r="K64" s="3" t="s">
        <v>64</v>
      </c>
      <c r="L64" s="10">
        <v>3</v>
      </c>
      <c r="M64" s="4">
        <v>75859.320000000007</v>
      </c>
    </row>
    <row r="65" spans="3:13" x14ac:dyDescent="0.35">
      <c r="C65"/>
      <c r="E65" s="3" t="s">
        <v>79</v>
      </c>
      <c r="F65" s="4">
        <v>37723.79</v>
      </c>
      <c r="G65" s="4">
        <v>52151.81</v>
      </c>
      <c r="H65" s="4">
        <v>-14428.02</v>
      </c>
      <c r="I65" s="7">
        <v>-0.27665425226852142</v>
      </c>
      <c r="K65" s="3" t="s">
        <v>27</v>
      </c>
      <c r="L65" s="10">
        <v>3</v>
      </c>
      <c r="M65" s="4">
        <v>73533.649999999994</v>
      </c>
    </row>
    <row r="66" spans="3:13" x14ac:dyDescent="0.35">
      <c r="C66"/>
      <c r="E66" s="3" t="s">
        <v>52</v>
      </c>
      <c r="F66" s="4">
        <v>22963.599999999999</v>
      </c>
      <c r="G66" s="4">
        <v>32077.439999999999</v>
      </c>
      <c r="H66" s="4">
        <v>-9113.84</v>
      </c>
      <c r="I66" s="7">
        <v>-0.2841199297699567</v>
      </c>
      <c r="K66" s="3" t="s">
        <v>100</v>
      </c>
      <c r="L66" s="10">
        <v>3</v>
      </c>
      <c r="M66" s="4">
        <v>72497.64</v>
      </c>
    </row>
    <row r="67" spans="3:13" x14ac:dyDescent="0.35">
      <c r="C67"/>
      <c r="E67" s="3" t="s">
        <v>6</v>
      </c>
      <c r="F67" s="4">
        <v>33924.239999999998</v>
      </c>
      <c r="G67" s="4">
        <v>48298.99</v>
      </c>
      <c r="H67" s="4">
        <v>-14374.75</v>
      </c>
      <c r="I67" s="7">
        <v>-0.29762009516141025</v>
      </c>
      <c r="K67" s="3" t="s">
        <v>46</v>
      </c>
      <c r="L67" s="10">
        <v>2</v>
      </c>
      <c r="M67" s="4">
        <v>71783.75</v>
      </c>
    </row>
    <row r="68" spans="3:13" x14ac:dyDescent="0.35">
      <c r="C68"/>
      <c r="E68" s="3" t="s">
        <v>81</v>
      </c>
      <c r="F68" s="4">
        <v>1128.2</v>
      </c>
      <c r="G68" s="4">
        <v>1627.56</v>
      </c>
      <c r="H68" s="4">
        <v>-499.36</v>
      </c>
      <c r="I68" s="7">
        <v>-0.30681510973481774</v>
      </c>
      <c r="K68" s="3" t="s">
        <v>59</v>
      </c>
      <c r="L68" s="10">
        <v>3</v>
      </c>
      <c r="M68" s="4">
        <v>71547.53</v>
      </c>
    </row>
    <row r="69" spans="3:13" x14ac:dyDescent="0.35">
      <c r="C69"/>
      <c r="E69" s="3" t="s">
        <v>23</v>
      </c>
      <c r="F69" s="4">
        <v>23333.06</v>
      </c>
      <c r="G69" s="4">
        <v>34606.28</v>
      </c>
      <c r="H69" s="4">
        <v>-11273.22</v>
      </c>
      <c r="I69" s="7">
        <v>-0.32575648119358674</v>
      </c>
      <c r="K69" s="3" t="s">
        <v>76</v>
      </c>
      <c r="L69" s="10">
        <v>3</v>
      </c>
      <c r="M69" s="4">
        <v>70851.58</v>
      </c>
    </row>
    <row r="70" spans="3:13" x14ac:dyDescent="0.35">
      <c r="C70"/>
      <c r="E70" s="3" t="s">
        <v>53</v>
      </c>
      <c r="F70" s="4">
        <v>17193.060000000001</v>
      </c>
      <c r="G70" s="4">
        <v>28287.73</v>
      </c>
      <c r="H70" s="4">
        <v>-11094.67</v>
      </c>
      <c r="I70" s="7">
        <v>-0.39220785831878341</v>
      </c>
      <c r="K70" s="3" t="s">
        <v>90</v>
      </c>
      <c r="L70" s="10">
        <v>2</v>
      </c>
      <c r="M70" s="4">
        <v>70378.649999999994</v>
      </c>
    </row>
    <row r="71" spans="3:13" x14ac:dyDescent="0.35">
      <c r="C71"/>
      <c r="E71" s="3" t="s">
        <v>21</v>
      </c>
      <c r="F71" s="4">
        <v>11843.45</v>
      </c>
      <c r="G71" s="4">
        <v>20355.240000000002</v>
      </c>
      <c r="H71" s="4">
        <v>-8511.7900000000009</v>
      </c>
      <c r="I71" s="7">
        <v>-0.41816210469638287</v>
      </c>
      <c r="K71" s="3" t="s">
        <v>22</v>
      </c>
      <c r="L71" s="10">
        <v>2</v>
      </c>
      <c r="M71" s="4">
        <v>70122.19</v>
      </c>
    </row>
    <row r="72" spans="3:13" x14ac:dyDescent="0.35">
      <c r="E72" s="3" t="s">
        <v>28</v>
      </c>
      <c r="F72" s="4">
        <v>30876.44</v>
      </c>
      <c r="G72" s="4">
        <v>54682.68</v>
      </c>
      <c r="H72" s="4">
        <v>-23806.240000000002</v>
      </c>
      <c r="I72" s="7">
        <v>-0.43535247358030005</v>
      </c>
      <c r="K72" s="3" t="s">
        <v>24</v>
      </c>
      <c r="L72" s="10">
        <v>3</v>
      </c>
      <c r="M72" s="4">
        <v>69214.33</v>
      </c>
    </row>
    <row r="73" spans="3:13" x14ac:dyDescent="0.35">
      <c r="E73" s="3" t="s">
        <v>63</v>
      </c>
      <c r="F73" s="4">
        <v>15130.97</v>
      </c>
      <c r="G73" s="4">
        <v>27121.9</v>
      </c>
      <c r="H73" s="4">
        <v>-11990.93</v>
      </c>
      <c r="I73" s="7">
        <v>-0.44211246262245646</v>
      </c>
      <c r="K73" s="3" t="s">
        <v>71</v>
      </c>
      <c r="L73" s="10">
        <v>2</v>
      </c>
      <c r="M73" s="4">
        <v>69059.039999999994</v>
      </c>
    </row>
    <row r="74" spans="3:13" x14ac:dyDescent="0.35">
      <c r="E74" s="3" t="s">
        <v>50</v>
      </c>
      <c r="F74" s="4">
        <v>29954.91</v>
      </c>
      <c r="G74" s="4">
        <v>55069.55</v>
      </c>
      <c r="H74" s="4">
        <v>-25114.639999999999</v>
      </c>
      <c r="I74" s="7">
        <v>-0.45605311828406081</v>
      </c>
      <c r="K74" s="3" t="s">
        <v>77</v>
      </c>
      <c r="L74" s="10">
        <v>3</v>
      </c>
      <c r="M74" s="4">
        <v>68977.67</v>
      </c>
    </row>
    <row r="75" spans="3:13" x14ac:dyDescent="0.35">
      <c r="E75" s="3" t="s">
        <v>25</v>
      </c>
      <c r="F75" s="4">
        <v>17359.53</v>
      </c>
      <c r="G75" s="4">
        <v>32538.74</v>
      </c>
      <c r="H75" s="4">
        <v>-15179.21</v>
      </c>
      <c r="I75" s="7">
        <v>-0.46649655149523311</v>
      </c>
      <c r="K75" s="3" t="s">
        <v>38</v>
      </c>
      <c r="L75" s="10">
        <v>3</v>
      </c>
      <c r="M75" s="4">
        <v>68520.47</v>
      </c>
    </row>
    <row r="76" spans="3:13" x14ac:dyDescent="0.35">
      <c r="E76" s="3" t="s">
        <v>32</v>
      </c>
      <c r="F76" s="4">
        <v>28211.7</v>
      </c>
      <c r="G76" s="4">
        <v>53959.21</v>
      </c>
      <c r="H76" s="4">
        <v>-25747.51</v>
      </c>
      <c r="I76" s="7">
        <v>-0.47716617793329441</v>
      </c>
      <c r="K76" s="3" t="s">
        <v>58</v>
      </c>
      <c r="L76" s="10">
        <v>3</v>
      </c>
      <c r="M76" s="4">
        <v>67659.19</v>
      </c>
    </row>
    <row r="77" spans="3:13" x14ac:dyDescent="0.35">
      <c r="E77" s="3" t="s">
        <v>14</v>
      </c>
      <c r="F77" s="4">
        <v>25080.959999999999</v>
      </c>
      <c r="G77" s="4">
        <v>49165.16</v>
      </c>
      <c r="H77" s="4">
        <v>-24084.2</v>
      </c>
      <c r="I77" s="7">
        <v>-0.48986314699270789</v>
      </c>
      <c r="K77" s="3" t="s">
        <v>80</v>
      </c>
      <c r="L77" s="10">
        <v>2</v>
      </c>
      <c r="M77" s="4">
        <v>66812</v>
      </c>
    </row>
    <row r="78" spans="3:13" x14ac:dyDescent="0.35">
      <c r="E78" s="3" t="s">
        <v>75</v>
      </c>
      <c r="F78" s="4">
        <v>16212.59</v>
      </c>
      <c r="G78" s="4">
        <v>32723.040000000001</v>
      </c>
      <c r="H78" s="4">
        <v>-16510.45</v>
      </c>
      <c r="I78" s="7">
        <v>-0.50455122751431403</v>
      </c>
      <c r="K78" s="3" t="s">
        <v>68</v>
      </c>
      <c r="L78" s="10">
        <v>3</v>
      </c>
      <c r="M78" s="4">
        <v>66710.559999999998</v>
      </c>
    </row>
    <row r="79" spans="3:13" x14ac:dyDescent="0.35">
      <c r="E79" s="3" t="s">
        <v>20</v>
      </c>
      <c r="F79" s="4">
        <v>15322.93</v>
      </c>
      <c r="G79" s="4">
        <v>31428.21</v>
      </c>
      <c r="H79" s="4">
        <v>-16105.28</v>
      </c>
      <c r="I79" s="7">
        <v>-0.51244662040886191</v>
      </c>
      <c r="K79" s="3" t="s">
        <v>101</v>
      </c>
      <c r="L79" s="10">
        <v>4</v>
      </c>
      <c r="M79" s="4">
        <v>66694.819999999992</v>
      </c>
    </row>
    <row r="80" spans="3:13" x14ac:dyDescent="0.35">
      <c r="E80" s="3" t="s">
        <v>31</v>
      </c>
      <c r="F80" s="4">
        <v>18997.89</v>
      </c>
      <c r="G80" s="4">
        <v>42783.81</v>
      </c>
      <c r="H80" s="4">
        <v>-23785.919999999998</v>
      </c>
      <c r="I80" s="7">
        <v>-0.55595609647668121</v>
      </c>
      <c r="K80" s="3" t="s">
        <v>34</v>
      </c>
      <c r="L80" s="10">
        <v>2</v>
      </c>
      <c r="M80" s="4">
        <v>65541.740000000005</v>
      </c>
    </row>
    <row r="81" spans="5:13" x14ac:dyDescent="0.35">
      <c r="E81" s="3" t="s">
        <v>41</v>
      </c>
      <c r="F81" s="4">
        <v>7612.06</v>
      </c>
      <c r="G81" s="4">
        <v>17746.259999999998</v>
      </c>
      <c r="H81" s="4">
        <v>-10134.200000000001</v>
      </c>
      <c r="I81" s="7">
        <v>-0.57106117007189106</v>
      </c>
      <c r="K81" s="3" t="s">
        <v>74</v>
      </c>
      <c r="L81" s="10">
        <v>2</v>
      </c>
      <c r="M81" s="4">
        <v>62361.219999999994</v>
      </c>
    </row>
    <row r="82" spans="5:13" x14ac:dyDescent="0.35">
      <c r="E82" s="3" t="s">
        <v>85</v>
      </c>
      <c r="F82" s="4">
        <v>12573.28</v>
      </c>
      <c r="G82" s="4">
        <v>29997.09</v>
      </c>
      <c r="H82" s="4">
        <v>-17423.810000000001</v>
      </c>
      <c r="I82" s="7">
        <v>-0.58085000911755102</v>
      </c>
      <c r="K82" s="3" t="s">
        <v>31</v>
      </c>
      <c r="L82" s="10">
        <v>2</v>
      </c>
      <c r="M82" s="4">
        <v>61781.7</v>
      </c>
    </row>
    <row r="83" spans="5:13" x14ac:dyDescent="0.35">
      <c r="E83" s="3" t="s">
        <v>8</v>
      </c>
      <c r="F83" s="4">
        <v>6066.78</v>
      </c>
      <c r="G83" s="4">
        <v>14571.44</v>
      </c>
      <c r="H83" s="4">
        <v>-8504.66</v>
      </c>
      <c r="I83" s="7">
        <v>-0.58365267948809452</v>
      </c>
      <c r="K83" s="3" t="s">
        <v>5</v>
      </c>
      <c r="L83" s="10">
        <v>3</v>
      </c>
      <c r="M83" s="4">
        <v>60483.359999999993</v>
      </c>
    </row>
    <row r="84" spans="5:13" x14ac:dyDescent="0.35">
      <c r="E84" s="3" t="s">
        <v>26</v>
      </c>
      <c r="F84" s="4">
        <v>23552.59</v>
      </c>
      <c r="G84" s="4">
        <v>56822.65</v>
      </c>
      <c r="H84" s="4">
        <v>-33270.06</v>
      </c>
      <c r="I84" s="7">
        <v>-0.58550701172859765</v>
      </c>
      <c r="K84" s="3" t="s">
        <v>13</v>
      </c>
      <c r="L84" s="10">
        <v>2</v>
      </c>
      <c r="M84" s="4">
        <v>58876.409999999996</v>
      </c>
    </row>
    <row r="85" spans="5:13" x14ac:dyDescent="0.35">
      <c r="E85" s="3" t="s">
        <v>56</v>
      </c>
      <c r="F85" s="4">
        <v>19501.82</v>
      </c>
      <c r="G85" s="4">
        <v>47924.19</v>
      </c>
      <c r="H85" s="4">
        <v>-28422.37</v>
      </c>
      <c r="I85" s="7">
        <v>-0.5930693872968954</v>
      </c>
      <c r="K85" s="3" t="s">
        <v>23</v>
      </c>
      <c r="L85" s="10">
        <v>2</v>
      </c>
      <c r="M85" s="4">
        <v>57939.34</v>
      </c>
    </row>
    <row r="86" spans="5:13" x14ac:dyDescent="0.35">
      <c r="E86" s="3" t="s">
        <v>30</v>
      </c>
      <c r="F86" s="4">
        <v>20644.240000000002</v>
      </c>
      <c r="G86" s="4">
        <v>51001.22</v>
      </c>
      <c r="H86" s="4">
        <v>-30356.98</v>
      </c>
      <c r="I86" s="7">
        <v>-0.5952206633488375</v>
      </c>
      <c r="K86" s="3" t="s">
        <v>9</v>
      </c>
      <c r="L86" s="10">
        <v>3</v>
      </c>
      <c r="M86" s="4">
        <v>55866.02</v>
      </c>
    </row>
    <row r="87" spans="5:13" x14ac:dyDescent="0.35">
      <c r="E87" s="3" t="s">
        <v>93</v>
      </c>
      <c r="F87" s="4">
        <v>16753.3</v>
      </c>
      <c r="G87" s="4">
        <v>42798.080000000002</v>
      </c>
      <c r="H87" s="4">
        <v>-26044.78</v>
      </c>
      <c r="I87" s="7">
        <v>-0.60855019664433552</v>
      </c>
      <c r="K87" s="3" t="s">
        <v>73</v>
      </c>
      <c r="L87" s="10">
        <v>2</v>
      </c>
      <c r="M87" s="4">
        <v>55577.26</v>
      </c>
    </row>
    <row r="88" spans="5:13" x14ac:dyDescent="0.35">
      <c r="E88" s="3" t="s">
        <v>44</v>
      </c>
      <c r="F88" s="4">
        <v>6631.36</v>
      </c>
      <c r="G88" s="4">
        <v>17032.29</v>
      </c>
      <c r="H88" s="4">
        <v>-10400.93</v>
      </c>
      <c r="I88" s="7">
        <v>-0.61065951789219186</v>
      </c>
      <c r="K88" s="3" t="s">
        <v>11</v>
      </c>
      <c r="L88" s="10">
        <v>3</v>
      </c>
      <c r="M88" s="4">
        <v>55190.16</v>
      </c>
    </row>
    <row r="89" spans="5:13" x14ac:dyDescent="0.35">
      <c r="E89" s="3" t="s">
        <v>29</v>
      </c>
      <c r="F89" s="4">
        <v>22162.61</v>
      </c>
      <c r="G89" s="4">
        <v>57131.92</v>
      </c>
      <c r="H89" s="4">
        <v>-34969.31</v>
      </c>
      <c r="I89" s="7">
        <v>-0.61208007712676205</v>
      </c>
      <c r="K89" s="3" t="s">
        <v>63</v>
      </c>
      <c r="L89" s="10">
        <v>3</v>
      </c>
      <c r="M89" s="4">
        <v>51059.990000000005</v>
      </c>
    </row>
    <row r="90" spans="5:13" x14ac:dyDescent="0.35">
      <c r="E90" s="3" t="s">
        <v>27</v>
      </c>
      <c r="F90" s="4">
        <v>12530.51</v>
      </c>
      <c r="G90" s="4">
        <v>32680.31</v>
      </c>
      <c r="H90" s="4">
        <v>-20149.8</v>
      </c>
      <c r="I90" s="7">
        <v>-0.61657309860279785</v>
      </c>
      <c r="K90" s="3" t="s">
        <v>51</v>
      </c>
      <c r="L90" s="10">
        <v>2</v>
      </c>
      <c r="M90" s="4">
        <v>50987.850000000006</v>
      </c>
    </row>
    <row r="91" spans="5:13" x14ac:dyDescent="0.35">
      <c r="E91" s="3" t="s">
        <v>59</v>
      </c>
      <c r="F91" s="4">
        <v>18888.310000000001</v>
      </c>
      <c r="G91" s="4">
        <v>50824.66</v>
      </c>
      <c r="H91" s="4">
        <v>-31936.35</v>
      </c>
      <c r="I91" s="7">
        <v>-0.62836327877058107</v>
      </c>
      <c r="K91" s="3" t="s">
        <v>44</v>
      </c>
      <c r="L91" s="10">
        <v>3</v>
      </c>
      <c r="M91" s="4">
        <v>49967.78</v>
      </c>
    </row>
    <row r="92" spans="5:13" x14ac:dyDescent="0.35">
      <c r="E92" s="3" t="s">
        <v>39</v>
      </c>
      <c r="F92" s="4">
        <v>13884.99</v>
      </c>
      <c r="G92" s="4">
        <v>40206.199999999997</v>
      </c>
      <c r="H92" s="4">
        <v>-26321.21</v>
      </c>
      <c r="I92" s="7">
        <v>-0.65465550089289715</v>
      </c>
      <c r="K92" s="3" t="s">
        <v>25</v>
      </c>
      <c r="L92" s="10">
        <v>2</v>
      </c>
      <c r="M92" s="4">
        <v>49898.270000000004</v>
      </c>
    </row>
    <row r="93" spans="5:13" x14ac:dyDescent="0.35">
      <c r="E93" s="3" t="s">
        <v>35</v>
      </c>
      <c r="F93" s="4">
        <v>7310.42</v>
      </c>
      <c r="G93" s="4">
        <v>22275.73</v>
      </c>
      <c r="H93" s="4">
        <v>-14965.31</v>
      </c>
      <c r="I93" s="7">
        <v>-0.67182130507058579</v>
      </c>
      <c r="K93" s="3" t="s">
        <v>20</v>
      </c>
      <c r="L93" s="10">
        <v>2</v>
      </c>
      <c r="M93" s="4">
        <v>46751.14</v>
      </c>
    </row>
    <row r="94" spans="5:13" x14ac:dyDescent="0.35">
      <c r="E94" s="3" t="s">
        <v>74</v>
      </c>
      <c r="F94" s="4">
        <v>15183.63</v>
      </c>
      <c r="G94" s="4">
        <v>47177.59</v>
      </c>
      <c r="H94" s="4">
        <v>-31993.96</v>
      </c>
      <c r="I94" s="7">
        <v>-0.67816011797126563</v>
      </c>
      <c r="K94" s="3" t="s">
        <v>53</v>
      </c>
      <c r="L94" s="10">
        <v>2</v>
      </c>
      <c r="M94" s="4">
        <v>45480.79</v>
      </c>
    </row>
    <row r="95" spans="5:13" x14ac:dyDescent="0.35">
      <c r="E95" s="3" t="s">
        <v>9</v>
      </c>
      <c r="F95" s="4">
        <v>9415.1299999999992</v>
      </c>
      <c r="G95" s="4">
        <v>35505.629999999997</v>
      </c>
      <c r="H95" s="4">
        <v>-26090.5</v>
      </c>
      <c r="I95" s="7">
        <v>-0.73482712459967625</v>
      </c>
      <c r="K95" s="3" t="s">
        <v>102</v>
      </c>
      <c r="L95" s="10">
        <v>2</v>
      </c>
      <c r="M95" s="4">
        <v>43748.72</v>
      </c>
    </row>
    <row r="96" spans="5:13" x14ac:dyDescent="0.35">
      <c r="E96" s="3" t="s">
        <v>69</v>
      </c>
      <c r="F96" s="4">
        <v>5899.38</v>
      </c>
      <c r="G96" s="4">
        <v>25833.14</v>
      </c>
      <c r="H96" s="4">
        <v>-19933.759999999998</v>
      </c>
      <c r="I96" s="7">
        <v>-0.77163519417306603</v>
      </c>
      <c r="K96" s="3" t="s">
        <v>85</v>
      </c>
      <c r="L96" s="10">
        <v>2</v>
      </c>
      <c r="M96" s="4">
        <v>42570.37</v>
      </c>
    </row>
    <row r="97" spans="5:13" x14ac:dyDescent="0.35">
      <c r="E97" s="3" t="s">
        <v>82</v>
      </c>
      <c r="F97" s="4">
        <v>6419.84</v>
      </c>
      <c r="G97" s="4">
        <v>35826.33</v>
      </c>
      <c r="H97" s="4">
        <v>-29406.49</v>
      </c>
      <c r="I97" s="7">
        <v>-0.8208066525373936</v>
      </c>
      <c r="K97" s="3" t="s">
        <v>61</v>
      </c>
      <c r="L97" s="10">
        <v>2</v>
      </c>
      <c r="M97" s="4">
        <v>41506.19</v>
      </c>
    </row>
    <row r="98" spans="5:13" x14ac:dyDescent="0.35">
      <c r="E98" s="3" t="s">
        <v>10</v>
      </c>
      <c r="F98" s="4">
        <v>7565.08</v>
      </c>
      <c r="G98" s="4">
        <v>45864.03</v>
      </c>
      <c r="H98" s="4">
        <v>-38298.949999999997</v>
      </c>
      <c r="I98" s="7">
        <v>-0.83505418080356208</v>
      </c>
      <c r="K98" s="3" t="s">
        <v>21</v>
      </c>
      <c r="L98" s="10">
        <v>2</v>
      </c>
      <c r="M98" s="4">
        <v>32198.690000000002</v>
      </c>
    </row>
    <row r="99" spans="5:13" x14ac:dyDescent="0.35">
      <c r="E99" s="3" t="s">
        <v>64</v>
      </c>
      <c r="F99" s="4">
        <v>4632.3100000000004</v>
      </c>
      <c r="G99" s="4">
        <v>36069.26</v>
      </c>
      <c r="H99" s="4">
        <v>-31436.95</v>
      </c>
      <c r="I99" s="7">
        <v>-0.8715718038019078</v>
      </c>
      <c r="K99" s="3" t="s">
        <v>17</v>
      </c>
      <c r="L99" s="10">
        <v>1</v>
      </c>
      <c r="M99" s="4">
        <v>31310.09</v>
      </c>
    </row>
    <row r="100" spans="5:13" x14ac:dyDescent="0.35">
      <c r="E100" s="3" t="s">
        <v>34</v>
      </c>
      <c r="F100" s="4">
        <v>6276.6</v>
      </c>
      <c r="G100" s="4">
        <v>59265.14</v>
      </c>
      <c r="H100" s="4">
        <v>-52988.54</v>
      </c>
      <c r="I100" s="7">
        <v>-0.89409288495732908</v>
      </c>
      <c r="K100" s="3" t="s">
        <v>35</v>
      </c>
      <c r="L100" s="10">
        <v>2</v>
      </c>
      <c r="M100" s="4">
        <v>29586.15</v>
      </c>
    </row>
    <row r="101" spans="5:13" x14ac:dyDescent="0.35">
      <c r="E101" s="3" t="s">
        <v>73</v>
      </c>
      <c r="F101" s="4">
        <v>4424.3999999999996</v>
      </c>
      <c r="G101" s="4">
        <v>51152.86</v>
      </c>
      <c r="H101" s="4">
        <v>-46728.46</v>
      </c>
      <c r="I101" s="7">
        <v>-0.91350630248240272</v>
      </c>
      <c r="K101" s="3" t="s">
        <v>62</v>
      </c>
      <c r="L101" s="10">
        <v>2</v>
      </c>
      <c r="M101" s="4">
        <v>29230.43</v>
      </c>
    </row>
    <row r="102" spans="5:13" x14ac:dyDescent="0.35">
      <c r="E102" s="3" t="s">
        <v>97</v>
      </c>
      <c r="F102" s="4">
        <v>3879.96</v>
      </c>
      <c r="G102" s="4">
        <v>50342.74</v>
      </c>
      <c r="H102" s="4">
        <v>-46462.78</v>
      </c>
      <c r="I102" s="7">
        <v>-0.92292910556715824</v>
      </c>
      <c r="K102" s="3" t="s">
        <v>81</v>
      </c>
      <c r="L102" s="10">
        <v>4</v>
      </c>
      <c r="M102" s="4">
        <v>29217.18</v>
      </c>
    </row>
    <row r="103" spans="5:13" x14ac:dyDescent="0.35">
      <c r="E103" s="3" t="s">
        <v>51</v>
      </c>
      <c r="F103" s="4">
        <v>3474.66</v>
      </c>
      <c r="G103" s="4">
        <v>47513.19</v>
      </c>
      <c r="H103" s="4">
        <v>-44038.53</v>
      </c>
      <c r="I103" s="7">
        <v>-0.92686957032352479</v>
      </c>
      <c r="K103" s="3" t="s">
        <v>41</v>
      </c>
      <c r="L103" s="10">
        <v>2</v>
      </c>
      <c r="M103" s="4">
        <v>25358.32</v>
      </c>
    </row>
    <row r="104" spans="5:13" x14ac:dyDescent="0.35">
      <c r="E104" s="3" t="s">
        <v>55</v>
      </c>
      <c r="F104" s="4">
        <v>1960.8</v>
      </c>
      <c r="G104" s="4">
        <v>33383.14</v>
      </c>
      <c r="H104" s="4">
        <v>-31422.34</v>
      </c>
      <c r="I104" s="7">
        <v>-0.94126376368430298</v>
      </c>
      <c r="K104" s="3" t="s">
        <v>8</v>
      </c>
      <c r="L104" s="10">
        <v>3</v>
      </c>
      <c r="M104" s="4">
        <v>22314.36</v>
      </c>
    </row>
    <row r="105" spans="5:13" x14ac:dyDescent="0.35">
      <c r="E105" s="3" t="s">
        <v>16</v>
      </c>
      <c r="F105" s="4">
        <v>1491.38</v>
      </c>
      <c r="G105" s="4">
        <v>50218.95</v>
      </c>
      <c r="H105" s="4">
        <v>-48727.57</v>
      </c>
      <c r="I105" s="7">
        <v>-0.97030244559075807</v>
      </c>
      <c r="K105" s="3" t="s">
        <v>12</v>
      </c>
      <c r="L105" s="10">
        <v>3</v>
      </c>
      <c r="M105" s="4">
        <v>21554.260000000002</v>
      </c>
    </row>
    <row r="106" spans="5:13" x14ac:dyDescent="0.35">
      <c r="K106" s="3" t="s">
        <v>19</v>
      </c>
      <c r="L106" s="10">
        <v>2</v>
      </c>
      <c r="M106" s="4">
        <v>7918.6</v>
      </c>
    </row>
  </sheetData>
  <sheetProtection sheet="1" objects="1" scenarios="1"/>
  <mergeCells count="3">
    <mergeCell ref="B3:C4"/>
    <mergeCell ref="E3:I4"/>
    <mergeCell ref="K3:M4"/>
  </mergeCells>
  <conditionalFormatting pivot="1" sqref="C9:C34">
    <cfRule type="cellIs" dxfId="45" priority="4" operator="greaterThan">
      <formula>0</formula>
    </cfRule>
  </conditionalFormatting>
  <conditionalFormatting pivot="1" sqref="C9:C34">
    <cfRule type="cellIs" dxfId="44" priority="3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13DCC-660D-4E0B-9C8B-2A8388F56C2E}">
  <dimension ref="P2:AJ34"/>
  <sheetViews>
    <sheetView showGridLines="0" workbookViewId="0">
      <selection activeCell="AD39" sqref="AD39"/>
    </sheetView>
  </sheetViews>
  <sheetFormatPr defaultRowHeight="14.5" x14ac:dyDescent="0.35"/>
  <cols>
    <col min="15" max="15" width="3.90625" customWidth="1"/>
  </cols>
  <sheetData>
    <row r="2" spans="16:36" ht="23" customHeight="1" x14ac:dyDescent="0.35">
      <c r="P2" s="13"/>
      <c r="Q2" s="13"/>
      <c r="R2" s="13"/>
      <c r="S2" s="13"/>
      <c r="T2" s="13"/>
      <c r="U2" s="13"/>
      <c r="V2" s="13"/>
      <c r="W2" s="13"/>
    </row>
    <row r="3" spans="16:36" x14ac:dyDescent="0.35">
      <c r="P3" s="13"/>
      <c r="Q3" s="13"/>
      <c r="R3" s="13"/>
      <c r="S3" s="13"/>
      <c r="T3" s="13"/>
      <c r="U3" s="13"/>
      <c r="V3" s="13"/>
      <c r="W3" s="13"/>
    </row>
    <row r="6" spans="16:36" x14ac:dyDescent="0.35">
      <c r="AB6" s="14" t="s">
        <v>122</v>
      </c>
      <c r="AC6" s="15"/>
      <c r="AD6" s="15"/>
      <c r="AE6" s="15"/>
      <c r="AF6" s="15"/>
      <c r="AG6" s="15"/>
      <c r="AH6" s="15"/>
      <c r="AI6" s="15"/>
      <c r="AJ6" s="15"/>
    </row>
    <row r="7" spans="16:36" x14ac:dyDescent="0.35">
      <c r="AB7" s="15" t="s">
        <v>123</v>
      </c>
      <c r="AC7" s="15"/>
      <c r="AD7" s="15"/>
      <c r="AE7" s="15"/>
      <c r="AF7" s="15"/>
      <c r="AG7" s="15"/>
      <c r="AH7" s="15"/>
      <c r="AI7" s="15"/>
      <c r="AJ7" s="15"/>
    </row>
    <row r="8" spans="16:36" x14ac:dyDescent="0.35">
      <c r="AB8" s="15" t="s">
        <v>124</v>
      </c>
      <c r="AC8" s="15"/>
      <c r="AD8" s="15"/>
      <c r="AE8" s="15"/>
      <c r="AF8" s="15"/>
      <c r="AG8" s="15"/>
      <c r="AH8" s="15"/>
      <c r="AI8" s="15"/>
      <c r="AJ8" s="15"/>
    </row>
    <row r="32" spans="28:36" x14ac:dyDescent="0.35">
      <c r="AB32" s="14" t="s">
        <v>122</v>
      </c>
      <c r="AC32" s="15"/>
      <c r="AD32" s="15"/>
      <c r="AE32" s="15"/>
      <c r="AF32" s="15"/>
      <c r="AG32" s="15"/>
      <c r="AH32" s="15"/>
      <c r="AI32" s="15"/>
      <c r="AJ32" s="15"/>
    </row>
    <row r="33" spans="28:36" x14ac:dyDescent="0.35">
      <c r="AB33" s="15" t="s">
        <v>123</v>
      </c>
      <c r="AC33" s="15"/>
      <c r="AD33" s="15"/>
      <c r="AE33" s="15"/>
      <c r="AF33" s="15"/>
      <c r="AG33" s="15"/>
      <c r="AH33" s="15"/>
      <c r="AI33" s="15"/>
      <c r="AJ33" s="15"/>
    </row>
    <row r="34" spans="28:36" x14ac:dyDescent="0.35">
      <c r="AB34" s="15" t="s">
        <v>124</v>
      </c>
      <c r="AC34" s="15"/>
      <c r="AD34" s="15"/>
      <c r="AE34" s="15"/>
      <c r="AF34" s="15"/>
      <c r="AG34" s="15"/>
      <c r="AH34" s="15"/>
      <c r="AI34" s="15"/>
      <c r="AJ34" s="1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B2D94-2B68-4D0A-8FBF-AB06FD5AC952}">
  <dimension ref="B3:N105"/>
  <sheetViews>
    <sheetView zoomScaleNormal="100" workbookViewId="0">
      <selection activeCell="I19" sqref="I9:I28"/>
      <pivotSelection pane="bottomRight" showHeader="1" axis="axisRow" activeRow="18" activeCol="8" previousRow="18" previousCol="8" click="1" r:id="rId2">
        <pivotArea dataOnly="0" labelOnly="1" fieldPosition="0">
          <references count="1">
            <reference field="0" count="0"/>
          </references>
        </pivotArea>
      </pivotSelection>
    </sheetView>
  </sheetViews>
  <sheetFormatPr defaultRowHeight="14.5" x14ac:dyDescent="0.35"/>
  <cols>
    <col min="1" max="1" width="9" customWidth="1"/>
    <col min="2" max="2" width="28.1796875" bestFit="1" customWidth="1"/>
    <col min="3" max="3" width="19.1796875" bestFit="1" customWidth="1"/>
    <col min="4" max="4" width="16.54296875" bestFit="1" customWidth="1"/>
    <col min="5" max="5" width="4.1796875" customWidth="1"/>
    <col min="6" max="6" width="24.453125" bestFit="1" customWidth="1"/>
    <col min="7" max="7" width="33.81640625" bestFit="1" customWidth="1"/>
    <col min="8" max="8" width="4.1796875" customWidth="1"/>
    <col min="9" max="9" width="24.453125" bestFit="1" customWidth="1"/>
    <col min="10" max="10" width="38.90625" bestFit="1" customWidth="1"/>
    <col min="11" max="11" width="5" customWidth="1"/>
    <col min="12" max="12" width="23.453125" bestFit="1" customWidth="1"/>
    <col min="13" max="13" width="19.81640625" bestFit="1" customWidth="1"/>
    <col min="14" max="14" width="17.36328125" bestFit="1" customWidth="1"/>
  </cols>
  <sheetData>
    <row r="3" spans="2:14" ht="14.5" customHeight="1" x14ac:dyDescent="0.35">
      <c r="B3" s="9" t="s">
        <v>115</v>
      </c>
      <c r="C3" s="9"/>
      <c r="D3" s="9"/>
      <c r="E3" s="12"/>
      <c r="F3" s="12"/>
    </row>
    <row r="4" spans="2:14" ht="14.5" customHeight="1" x14ac:dyDescent="0.35">
      <c r="B4" s="9"/>
      <c r="C4" s="9"/>
      <c r="D4" s="9"/>
      <c r="E4" s="12"/>
      <c r="F4" s="12"/>
    </row>
    <row r="5" spans="2:14" ht="15.5" customHeight="1" x14ac:dyDescent="0.35"/>
    <row r="6" spans="2:14" ht="15.5" customHeight="1" x14ac:dyDescent="0.35">
      <c r="B6" s="2" t="s">
        <v>103</v>
      </c>
      <c r="C6" s="3">
        <v>2</v>
      </c>
      <c r="F6" s="2" t="s">
        <v>103</v>
      </c>
      <c r="G6" s="3">
        <v>2</v>
      </c>
      <c r="I6" s="2" t="s">
        <v>103</v>
      </c>
      <c r="J6" s="3">
        <v>2</v>
      </c>
      <c r="L6" s="2" t="s">
        <v>109</v>
      </c>
      <c r="M6" s="8" t="s">
        <v>112</v>
      </c>
      <c r="N6" t="s">
        <v>121</v>
      </c>
    </row>
    <row r="7" spans="2:14" x14ac:dyDescent="0.35">
      <c r="L7" s="3" t="s">
        <v>54</v>
      </c>
      <c r="M7" s="4">
        <v>125505.57</v>
      </c>
      <c r="N7" s="10">
        <v>3</v>
      </c>
    </row>
    <row r="8" spans="2:14" x14ac:dyDescent="0.35">
      <c r="B8" s="2" t="s">
        <v>109</v>
      </c>
      <c r="C8" t="s">
        <v>108</v>
      </c>
      <c r="D8" t="s">
        <v>106</v>
      </c>
      <c r="F8" s="2" t="s">
        <v>109</v>
      </c>
      <c r="G8" t="s">
        <v>117</v>
      </c>
      <c r="I8" s="2" t="s">
        <v>109</v>
      </c>
      <c r="J8" t="s">
        <v>118</v>
      </c>
      <c r="L8" s="3" t="s">
        <v>78</v>
      </c>
      <c r="M8" s="4">
        <v>126983.19</v>
      </c>
      <c r="N8" s="10">
        <v>5</v>
      </c>
    </row>
    <row r="9" spans="2:14" x14ac:dyDescent="0.35">
      <c r="B9" s="3" t="s">
        <v>5</v>
      </c>
      <c r="C9" s="4">
        <v>33818.339999999997</v>
      </c>
      <c r="D9" s="4">
        <v>14232.7</v>
      </c>
      <c r="F9" s="3" t="s">
        <v>62</v>
      </c>
      <c r="G9" s="7">
        <v>15.399894042573454</v>
      </c>
      <c r="I9" s="3" t="s">
        <v>13</v>
      </c>
      <c r="J9" s="4">
        <v>47357.57</v>
      </c>
      <c r="L9" s="3" t="s">
        <v>79</v>
      </c>
      <c r="M9" s="4">
        <v>127529.69</v>
      </c>
      <c r="N9" s="10">
        <v>3</v>
      </c>
    </row>
    <row r="10" spans="2:14" x14ac:dyDescent="0.35">
      <c r="B10" s="3" t="s">
        <v>6</v>
      </c>
      <c r="C10" s="4">
        <v>33924.239999999998</v>
      </c>
      <c r="D10" s="4">
        <v>48298.99</v>
      </c>
      <c r="F10" s="3" t="s">
        <v>38</v>
      </c>
      <c r="G10" s="7">
        <v>12.05019023666731</v>
      </c>
      <c r="I10" s="3" t="s">
        <v>72</v>
      </c>
      <c r="J10" s="4">
        <v>45201.94</v>
      </c>
      <c r="L10" s="3" t="s">
        <v>32</v>
      </c>
      <c r="M10" s="4">
        <v>129085.12</v>
      </c>
      <c r="N10" s="10">
        <v>5</v>
      </c>
    </row>
    <row r="11" spans="2:14" x14ac:dyDescent="0.35">
      <c r="B11" s="3" t="s">
        <v>7</v>
      </c>
      <c r="C11" s="4">
        <v>38547.19</v>
      </c>
      <c r="D11" s="4">
        <v>41554.730000000003</v>
      </c>
      <c r="F11" s="3" t="s">
        <v>36</v>
      </c>
      <c r="G11" s="7">
        <v>11.944916666666668</v>
      </c>
      <c r="I11" s="3" t="s">
        <v>67</v>
      </c>
      <c r="J11" s="4">
        <v>44557.54</v>
      </c>
      <c r="L11" s="3" t="s">
        <v>83</v>
      </c>
      <c r="M11" s="4">
        <v>130305.35</v>
      </c>
      <c r="N11" s="10">
        <v>3</v>
      </c>
    </row>
    <row r="12" spans="2:14" x14ac:dyDescent="0.35">
      <c r="B12" s="3" t="s">
        <v>8</v>
      </c>
      <c r="C12" s="4">
        <v>6066.78</v>
      </c>
      <c r="D12" s="4">
        <v>14571.44</v>
      </c>
      <c r="F12" s="3" t="s">
        <v>13</v>
      </c>
      <c r="G12" s="7">
        <v>8.2226283202127988</v>
      </c>
      <c r="I12" s="3" t="s">
        <v>42</v>
      </c>
      <c r="J12" s="4">
        <v>38378.019999999997</v>
      </c>
      <c r="L12" s="3" t="s">
        <v>28</v>
      </c>
      <c r="M12" s="4">
        <v>132340.78</v>
      </c>
      <c r="N12" s="10">
        <v>4</v>
      </c>
    </row>
    <row r="13" spans="2:14" x14ac:dyDescent="0.35">
      <c r="B13" s="3" t="s">
        <v>9</v>
      </c>
      <c r="C13" s="4">
        <v>9415.1299999999992</v>
      </c>
      <c r="D13" s="4">
        <v>35505.629999999997</v>
      </c>
      <c r="F13" s="3" t="s">
        <v>72</v>
      </c>
      <c r="G13" s="7">
        <v>4.4212335299002428</v>
      </c>
      <c r="I13" s="3" t="s">
        <v>38</v>
      </c>
      <c r="J13" s="4">
        <v>37372.46</v>
      </c>
      <c r="L13" s="3" t="s">
        <v>87</v>
      </c>
      <c r="M13" s="4">
        <v>133907.12</v>
      </c>
      <c r="N13" s="10">
        <v>4</v>
      </c>
    </row>
    <row r="14" spans="2:14" x14ac:dyDescent="0.35">
      <c r="B14" s="3" t="s">
        <v>10</v>
      </c>
      <c r="C14" s="4">
        <v>7565.08</v>
      </c>
      <c r="D14" s="4">
        <v>45864.03</v>
      </c>
      <c r="F14" s="3" t="s">
        <v>67</v>
      </c>
      <c r="G14" s="7">
        <v>4.0344376737321515</v>
      </c>
      <c r="I14" s="3" t="s">
        <v>36</v>
      </c>
      <c r="J14" s="4">
        <v>34401.360000000001</v>
      </c>
      <c r="L14" s="3" t="s">
        <v>7</v>
      </c>
      <c r="M14" s="4">
        <v>137034.22</v>
      </c>
      <c r="N14" s="10">
        <v>4</v>
      </c>
    </row>
    <row r="15" spans="2:14" x14ac:dyDescent="0.35">
      <c r="B15" s="3" t="s">
        <v>11</v>
      </c>
      <c r="C15" s="4">
        <v>23936.53</v>
      </c>
      <c r="D15" s="4">
        <v>9821.32</v>
      </c>
      <c r="F15" s="3" t="s">
        <v>42</v>
      </c>
      <c r="G15" s="7">
        <v>3.8463216023492039</v>
      </c>
      <c r="I15" s="3" t="s">
        <v>95</v>
      </c>
      <c r="J15" s="4">
        <v>33246.199999999997</v>
      </c>
      <c r="L15" s="3" t="s">
        <v>52</v>
      </c>
      <c r="M15" s="4">
        <v>137460.78999999998</v>
      </c>
      <c r="N15" s="10">
        <v>4</v>
      </c>
    </row>
    <row r="16" spans="2:14" x14ac:dyDescent="0.35">
      <c r="B16" s="3" t="s">
        <v>13</v>
      </c>
      <c r="C16" s="4">
        <v>53116.99</v>
      </c>
      <c r="D16" s="4">
        <v>5759.42</v>
      </c>
      <c r="F16" s="3" t="s">
        <v>102</v>
      </c>
      <c r="G16" s="7">
        <v>3.6977462312375868</v>
      </c>
      <c r="I16" s="3" t="s">
        <v>76</v>
      </c>
      <c r="J16" s="4">
        <v>28451.09</v>
      </c>
      <c r="L16" s="3" t="s">
        <v>82</v>
      </c>
      <c r="M16" s="4">
        <v>137480.07</v>
      </c>
      <c r="N16" s="10">
        <v>4</v>
      </c>
    </row>
    <row r="17" spans="2:14" x14ac:dyDescent="0.35">
      <c r="B17" s="3" t="s">
        <v>14</v>
      </c>
      <c r="C17" s="4">
        <v>25080.959999999999</v>
      </c>
      <c r="D17" s="4">
        <v>49165.16</v>
      </c>
      <c r="F17" s="3" t="s">
        <v>92</v>
      </c>
      <c r="G17" s="7">
        <v>3.3326818654177797</v>
      </c>
      <c r="I17" s="3" t="s">
        <v>102</v>
      </c>
      <c r="J17" s="4">
        <v>28392.22</v>
      </c>
      <c r="L17" s="3" t="s">
        <v>93</v>
      </c>
      <c r="M17" s="4">
        <v>143536.27000000002</v>
      </c>
      <c r="N17" s="10">
        <v>4</v>
      </c>
    </row>
    <row r="18" spans="2:14" x14ac:dyDescent="0.35">
      <c r="B18" s="3" t="s">
        <v>12</v>
      </c>
      <c r="C18" s="4">
        <v>5858.56</v>
      </c>
      <c r="D18" s="4">
        <v>6036.96</v>
      </c>
      <c r="F18" s="3" t="s">
        <v>100</v>
      </c>
      <c r="G18" s="7">
        <v>3.113424013336294</v>
      </c>
      <c r="I18" s="3" t="s">
        <v>94</v>
      </c>
      <c r="J18" s="4">
        <v>26889.73</v>
      </c>
      <c r="L18" s="3" t="s">
        <v>15</v>
      </c>
      <c r="M18" s="4">
        <v>148410.09000000003</v>
      </c>
      <c r="N18" s="10">
        <v>3</v>
      </c>
    </row>
    <row r="19" spans="2:14" x14ac:dyDescent="0.35">
      <c r="B19" s="3" t="s">
        <v>15</v>
      </c>
      <c r="C19" s="4">
        <v>52825.29</v>
      </c>
      <c r="D19" s="4">
        <v>48425.69</v>
      </c>
      <c r="F19" s="3" t="s">
        <v>76</v>
      </c>
      <c r="G19" s="7">
        <v>1.6833589919876364</v>
      </c>
      <c r="I19" s="3" t="s">
        <v>62</v>
      </c>
      <c r="J19" s="4">
        <v>25870.59</v>
      </c>
      <c r="L19" s="3" t="s">
        <v>57</v>
      </c>
      <c r="M19" s="4">
        <v>149085.15</v>
      </c>
      <c r="N19" s="10">
        <v>4</v>
      </c>
    </row>
    <row r="20" spans="2:14" x14ac:dyDescent="0.35">
      <c r="B20" s="3" t="s">
        <v>16</v>
      </c>
      <c r="C20" s="4">
        <v>1491.38</v>
      </c>
      <c r="D20" s="4">
        <v>50218.95</v>
      </c>
      <c r="F20" s="3" t="s">
        <v>11</v>
      </c>
      <c r="G20" s="7">
        <v>1.4372009057845585</v>
      </c>
      <c r="I20" s="3" t="s">
        <v>92</v>
      </c>
      <c r="J20" s="4">
        <v>23924.19</v>
      </c>
      <c r="L20" s="3" t="s">
        <v>36</v>
      </c>
      <c r="M20" s="4">
        <v>154622.07999999999</v>
      </c>
      <c r="N20" s="10">
        <v>5</v>
      </c>
    </row>
    <row r="21" spans="2:14" x14ac:dyDescent="0.35">
      <c r="B21" s="3" t="s">
        <v>18</v>
      </c>
      <c r="C21" s="4">
        <v>24101.81</v>
      </c>
      <c r="D21" s="4">
        <v>10549.01</v>
      </c>
      <c r="F21" s="3" t="s">
        <v>5</v>
      </c>
      <c r="G21" s="7">
        <v>1.3761015127136802</v>
      </c>
      <c r="I21" s="3" t="s">
        <v>46</v>
      </c>
      <c r="J21" s="4">
        <v>21792.53</v>
      </c>
      <c r="L21" s="3" t="s">
        <v>37</v>
      </c>
      <c r="M21" s="4">
        <v>156251.03000000003</v>
      </c>
      <c r="N21" s="10">
        <v>5</v>
      </c>
    </row>
    <row r="22" spans="2:14" x14ac:dyDescent="0.35">
      <c r="B22" s="3" t="s">
        <v>19</v>
      </c>
      <c r="C22" s="4">
        <v>3452.75</v>
      </c>
      <c r="D22" s="4">
        <v>4465.8500000000004</v>
      </c>
      <c r="F22" s="3" t="s">
        <v>18</v>
      </c>
      <c r="G22" s="7">
        <v>1.284746151534599</v>
      </c>
      <c r="I22" s="3" t="s">
        <v>48</v>
      </c>
      <c r="J22" s="4">
        <v>21686.75</v>
      </c>
      <c r="L22" s="3" t="s">
        <v>56</v>
      </c>
      <c r="M22" s="4">
        <v>158573.12</v>
      </c>
      <c r="N22" s="10">
        <v>4</v>
      </c>
    </row>
    <row r="23" spans="2:14" x14ac:dyDescent="0.35">
      <c r="B23" s="3" t="s">
        <v>20</v>
      </c>
      <c r="C23" s="4">
        <v>15322.93</v>
      </c>
      <c r="D23" s="4">
        <v>31428.21</v>
      </c>
      <c r="F23" s="3" t="s">
        <v>94</v>
      </c>
      <c r="G23" s="7">
        <v>1.2201579006357681</v>
      </c>
      <c r="I23" s="3" t="s">
        <v>98</v>
      </c>
      <c r="J23" s="4">
        <v>21535.3</v>
      </c>
      <c r="L23" s="3" t="s">
        <v>70</v>
      </c>
      <c r="M23" s="4">
        <v>177913.95</v>
      </c>
      <c r="N23" s="10">
        <v>4</v>
      </c>
    </row>
    <row r="24" spans="2:14" x14ac:dyDescent="0.35">
      <c r="B24" s="3" t="s">
        <v>21</v>
      </c>
      <c r="C24" s="4">
        <v>11843.45</v>
      </c>
      <c r="D24" s="4">
        <v>20355.240000000002</v>
      </c>
      <c r="F24" s="3" t="s">
        <v>101</v>
      </c>
      <c r="G24" s="7">
        <v>1.1888158083320521</v>
      </c>
      <c r="I24" s="3" t="s">
        <v>5</v>
      </c>
      <c r="J24" s="4">
        <v>19585.64</v>
      </c>
      <c r="L24" s="3" t="s">
        <v>10</v>
      </c>
      <c r="M24" s="4">
        <v>180585.07</v>
      </c>
      <c r="N24" s="10">
        <v>5</v>
      </c>
    </row>
    <row r="25" spans="2:14" x14ac:dyDescent="0.35">
      <c r="B25" s="3" t="s">
        <v>22</v>
      </c>
      <c r="C25" s="4">
        <v>33594.58</v>
      </c>
      <c r="D25" s="4">
        <v>36527.61</v>
      </c>
      <c r="F25" s="3" t="s">
        <v>95</v>
      </c>
      <c r="G25" s="7">
        <v>1.1878534267861014</v>
      </c>
      <c r="I25" s="3" t="s">
        <v>57</v>
      </c>
      <c r="J25" s="4">
        <v>19152.59</v>
      </c>
      <c r="L25" s="3" t="s">
        <v>67</v>
      </c>
      <c r="M25" s="4">
        <v>591827.34</v>
      </c>
      <c r="N25" s="10">
        <v>17</v>
      </c>
    </row>
    <row r="26" spans="2:14" x14ac:dyDescent="0.35">
      <c r="B26" s="3" t="s">
        <v>23</v>
      </c>
      <c r="C26" s="4">
        <v>23333.06</v>
      </c>
      <c r="D26" s="4">
        <v>34606.28</v>
      </c>
      <c r="F26" s="3" t="s">
        <v>48</v>
      </c>
      <c r="G26" s="7">
        <v>0.9649633334623704</v>
      </c>
      <c r="I26" s="3" t="s">
        <v>49</v>
      </c>
      <c r="J26" s="4">
        <v>17580.88</v>
      </c>
      <c r="L26" s="3" t="s">
        <v>39</v>
      </c>
      <c r="M26" s="4">
        <v>820689.54</v>
      </c>
      <c r="N26" s="10">
        <v>26</v>
      </c>
    </row>
    <row r="27" spans="2:14" x14ac:dyDescent="0.35">
      <c r="B27" s="3" t="s">
        <v>24</v>
      </c>
      <c r="C27" s="4">
        <v>22042.37</v>
      </c>
      <c r="D27" s="4">
        <v>21665.98</v>
      </c>
      <c r="F27" s="3" t="s">
        <v>98</v>
      </c>
      <c r="G27" s="7">
        <v>0.90074802662178388</v>
      </c>
      <c r="I27" s="3" t="s">
        <v>47</v>
      </c>
      <c r="J27" s="4">
        <v>17549.34</v>
      </c>
    </row>
    <row r="28" spans="2:14" x14ac:dyDescent="0.35">
      <c r="B28" s="3" t="s">
        <v>25</v>
      </c>
      <c r="C28" s="4">
        <v>17359.53</v>
      </c>
      <c r="D28" s="4">
        <v>32538.74</v>
      </c>
      <c r="F28" s="3" t="s">
        <v>46</v>
      </c>
      <c r="G28" s="7">
        <v>0.87185429761466104</v>
      </c>
      <c r="I28" s="3" t="s">
        <v>43</v>
      </c>
      <c r="J28" s="4">
        <v>17165.689999999999</v>
      </c>
    </row>
    <row r="29" spans="2:14" x14ac:dyDescent="0.35">
      <c r="B29" s="3" t="s">
        <v>26</v>
      </c>
      <c r="C29" s="4">
        <v>23552.59</v>
      </c>
      <c r="D29" s="4">
        <v>56822.65</v>
      </c>
    </row>
    <row r="30" spans="2:14" x14ac:dyDescent="0.35">
      <c r="B30" s="3" t="s">
        <v>27</v>
      </c>
      <c r="C30" s="4">
        <v>12530.51</v>
      </c>
      <c r="D30" s="4">
        <v>32680.31</v>
      </c>
    </row>
    <row r="31" spans="2:14" x14ac:dyDescent="0.35">
      <c r="B31" s="3" t="s">
        <v>28</v>
      </c>
      <c r="C31" s="4">
        <v>30876.44</v>
      </c>
      <c r="D31" s="4">
        <v>54682.68</v>
      </c>
    </row>
    <row r="32" spans="2:14" x14ac:dyDescent="0.35">
      <c r="B32" s="3" t="s">
        <v>29</v>
      </c>
      <c r="C32" s="4">
        <v>22162.61</v>
      </c>
      <c r="D32" s="4">
        <v>57131.92</v>
      </c>
    </row>
    <row r="33" spans="2:4" x14ac:dyDescent="0.35">
      <c r="B33" s="3" t="s">
        <v>30</v>
      </c>
      <c r="C33" s="4">
        <v>20644.240000000002</v>
      </c>
      <c r="D33" s="4">
        <v>51001.22</v>
      </c>
    </row>
    <row r="34" spans="2:4" x14ac:dyDescent="0.35">
      <c r="B34" s="3" t="s">
        <v>31</v>
      </c>
      <c r="C34" s="4">
        <v>18997.89</v>
      </c>
      <c r="D34" s="4">
        <v>42783.81</v>
      </c>
    </row>
    <row r="35" spans="2:4" x14ac:dyDescent="0.35">
      <c r="B35" s="3" t="s">
        <v>32</v>
      </c>
      <c r="C35" s="4">
        <v>28211.7</v>
      </c>
      <c r="D35" s="4">
        <v>53959.21</v>
      </c>
    </row>
    <row r="36" spans="2:4" x14ac:dyDescent="0.35">
      <c r="B36" s="3" t="s">
        <v>33</v>
      </c>
      <c r="C36" s="4">
        <v>39641.43</v>
      </c>
      <c r="D36" s="4">
        <v>23715.7</v>
      </c>
    </row>
    <row r="37" spans="2:4" x14ac:dyDescent="0.35">
      <c r="B37" s="3" t="s">
        <v>34</v>
      </c>
      <c r="C37" s="4">
        <v>6276.6</v>
      </c>
      <c r="D37" s="4">
        <v>59265.14</v>
      </c>
    </row>
    <row r="38" spans="2:4" x14ac:dyDescent="0.35">
      <c r="B38" s="3" t="s">
        <v>35</v>
      </c>
      <c r="C38" s="4">
        <v>7310.42</v>
      </c>
      <c r="D38" s="4">
        <v>22275.73</v>
      </c>
    </row>
    <row r="39" spans="2:4" x14ac:dyDescent="0.35">
      <c r="B39" s="3" t="s">
        <v>36</v>
      </c>
      <c r="C39" s="4">
        <v>37281.360000000001</v>
      </c>
      <c r="D39" s="4">
        <v>2880</v>
      </c>
    </row>
    <row r="40" spans="2:4" x14ac:dyDescent="0.35">
      <c r="B40" s="3" t="s">
        <v>37</v>
      </c>
      <c r="C40" s="4">
        <v>38350.15</v>
      </c>
      <c r="D40" s="4">
        <v>44380.15</v>
      </c>
    </row>
    <row r="41" spans="2:4" x14ac:dyDescent="0.35">
      <c r="B41" s="3" t="s">
        <v>38</v>
      </c>
      <c r="C41" s="4">
        <v>40473.86</v>
      </c>
      <c r="D41" s="4">
        <v>3101.4</v>
      </c>
    </row>
    <row r="42" spans="2:4" x14ac:dyDescent="0.35">
      <c r="B42" s="3" t="s">
        <v>39</v>
      </c>
      <c r="C42" s="4">
        <v>13884.99</v>
      </c>
      <c r="D42" s="4">
        <v>40206.199999999997</v>
      </c>
    </row>
    <row r="43" spans="2:4" x14ac:dyDescent="0.35">
      <c r="B43" s="3" t="s">
        <v>40</v>
      </c>
      <c r="C43" s="4">
        <v>35034.57</v>
      </c>
      <c r="D43" s="4">
        <v>31670.37</v>
      </c>
    </row>
    <row r="44" spans="2:4" x14ac:dyDescent="0.35">
      <c r="B44" s="3" t="s">
        <v>41</v>
      </c>
      <c r="C44" s="4">
        <v>7612.06</v>
      </c>
      <c r="D44" s="4">
        <v>17746.259999999998</v>
      </c>
    </row>
    <row r="45" spans="2:4" x14ac:dyDescent="0.35">
      <c r="B45" s="3" t="s">
        <v>42</v>
      </c>
      <c r="C45" s="4">
        <v>48355.87</v>
      </c>
      <c r="D45" s="4">
        <v>9977.85</v>
      </c>
    </row>
    <row r="46" spans="2:4" x14ac:dyDescent="0.35">
      <c r="B46" s="3" t="s">
        <v>43</v>
      </c>
      <c r="C46" s="4">
        <v>42044.77</v>
      </c>
      <c r="D46" s="4">
        <v>24879.08</v>
      </c>
    </row>
    <row r="47" spans="2:4" x14ac:dyDescent="0.35">
      <c r="B47" s="3" t="s">
        <v>44</v>
      </c>
      <c r="C47" s="4">
        <v>6631.36</v>
      </c>
      <c r="D47" s="4">
        <v>17032.29</v>
      </c>
    </row>
    <row r="48" spans="2:4" x14ac:dyDescent="0.35">
      <c r="B48" s="3" t="s">
        <v>45</v>
      </c>
      <c r="C48" s="4">
        <v>15059.76</v>
      </c>
      <c r="D48" s="4">
        <v>18473.71</v>
      </c>
    </row>
    <row r="49" spans="2:4" x14ac:dyDescent="0.35">
      <c r="B49" s="3" t="s">
        <v>46</v>
      </c>
      <c r="C49" s="4">
        <v>46788.14</v>
      </c>
      <c r="D49" s="4">
        <v>24995.61</v>
      </c>
    </row>
    <row r="50" spans="2:4" x14ac:dyDescent="0.35">
      <c r="B50" s="3" t="s">
        <v>47</v>
      </c>
      <c r="C50" s="4">
        <v>37769.379999999997</v>
      </c>
      <c r="D50" s="4">
        <v>20220.04</v>
      </c>
    </row>
    <row r="51" spans="2:4" x14ac:dyDescent="0.35">
      <c r="B51" s="3" t="s">
        <v>48</v>
      </c>
      <c r="C51" s="4">
        <v>44160.92</v>
      </c>
      <c r="D51" s="4">
        <v>22474.17</v>
      </c>
    </row>
    <row r="52" spans="2:4" x14ac:dyDescent="0.35">
      <c r="B52" s="3" t="s">
        <v>49</v>
      </c>
      <c r="C52" s="4">
        <v>53745.34</v>
      </c>
      <c r="D52" s="4">
        <v>36164.46</v>
      </c>
    </row>
    <row r="53" spans="2:4" x14ac:dyDescent="0.35">
      <c r="B53" s="3" t="s">
        <v>50</v>
      </c>
      <c r="C53" s="4">
        <v>29954.91</v>
      </c>
      <c r="D53" s="4">
        <v>55069.55</v>
      </c>
    </row>
    <row r="54" spans="2:4" x14ac:dyDescent="0.35">
      <c r="B54" s="3" t="s">
        <v>51</v>
      </c>
      <c r="C54" s="4">
        <v>3474.66</v>
      </c>
      <c r="D54" s="4">
        <v>47513.19</v>
      </c>
    </row>
    <row r="55" spans="2:4" x14ac:dyDescent="0.35">
      <c r="B55" s="3" t="s">
        <v>52</v>
      </c>
      <c r="C55" s="4">
        <v>22963.599999999999</v>
      </c>
      <c r="D55" s="4">
        <v>32077.439999999999</v>
      </c>
    </row>
    <row r="56" spans="2:4" x14ac:dyDescent="0.35">
      <c r="B56" s="3" t="s">
        <v>53</v>
      </c>
      <c r="C56" s="4">
        <v>17193.060000000001</v>
      </c>
      <c r="D56" s="4">
        <v>28287.73</v>
      </c>
    </row>
    <row r="57" spans="2:4" x14ac:dyDescent="0.35">
      <c r="B57" s="3" t="s">
        <v>55</v>
      </c>
      <c r="C57" s="4">
        <v>1960.8</v>
      </c>
      <c r="D57" s="4">
        <v>33383.14</v>
      </c>
    </row>
    <row r="58" spans="2:4" x14ac:dyDescent="0.35">
      <c r="B58" s="3" t="s">
        <v>56</v>
      </c>
      <c r="C58" s="4">
        <v>19501.82</v>
      </c>
      <c r="D58" s="4">
        <v>47924.19</v>
      </c>
    </row>
    <row r="59" spans="2:4" x14ac:dyDescent="0.35">
      <c r="B59" s="3" t="s">
        <v>57</v>
      </c>
      <c r="C59" s="4">
        <v>41445.21</v>
      </c>
      <c r="D59" s="4">
        <v>22292.62</v>
      </c>
    </row>
    <row r="60" spans="2:4" x14ac:dyDescent="0.35">
      <c r="B60" s="3" t="s">
        <v>54</v>
      </c>
      <c r="C60" s="4">
        <v>51619.02</v>
      </c>
      <c r="D60" s="4">
        <v>38524.29</v>
      </c>
    </row>
    <row r="61" spans="2:4" x14ac:dyDescent="0.35">
      <c r="B61" s="3" t="s">
        <v>58</v>
      </c>
      <c r="C61" s="4">
        <v>26311.63</v>
      </c>
      <c r="D61" s="4">
        <v>23419.47</v>
      </c>
    </row>
    <row r="62" spans="2:4" x14ac:dyDescent="0.35">
      <c r="B62" s="3" t="s">
        <v>59</v>
      </c>
      <c r="C62" s="4">
        <v>18888.310000000001</v>
      </c>
      <c r="D62" s="4">
        <v>50824.66</v>
      </c>
    </row>
    <row r="63" spans="2:4" x14ac:dyDescent="0.35">
      <c r="B63" s="3" t="s">
        <v>60</v>
      </c>
      <c r="C63" s="4">
        <v>47411.33</v>
      </c>
      <c r="D63" s="4">
        <v>43134.04</v>
      </c>
    </row>
    <row r="64" spans="2:4" x14ac:dyDescent="0.35">
      <c r="B64" s="3" t="s">
        <v>61</v>
      </c>
      <c r="C64" s="4">
        <v>21053.69</v>
      </c>
      <c r="D64" s="4">
        <v>20452.5</v>
      </c>
    </row>
    <row r="65" spans="2:4" x14ac:dyDescent="0.35">
      <c r="B65" s="3" t="s">
        <v>62</v>
      </c>
      <c r="C65" s="4">
        <v>27550.51</v>
      </c>
      <c r="D65" s="4">
        <v>1679.92</v>
      </c>
    </row>
    <row r="66" spans="2:4" x14ac:dyDescent="0.35">
      <c r="B66" s="3" t="s">
        <v>63</v>
      </c>
      <c r="C66" s="4">
        <v>15130.97</v>
      </c>
      <c r="D66" s="4">
        <v>27121.9</v>
      </c>
    </row>
    <row r="67" spans="2:4" x14ac:dyDescent="0.35">
      <c r="B67" s="3" t="s">
        <v>64</v>
      </c>
      <c r="C67" s="4">
        <v>4632.3100000000004</v>
      </c>
      <c r="D67" s="4">
        <v>36069.26</v>
      </c>
    </row>
    <row r="68" spans="2:4" x14ac:dyDescent="0.35">
      <c r="B68" s="3" t="s">
        <v>65</v>
      </c>
      <c r="C68" s="4">
        <v>42339.76</v>
      </c>
      <c r="D68" s="4">
        <v>36092.400000000001</v>
      </c>
    </row>
    <row r="69" spans="2:4" x14ac:dyDescent="0.35">
      <c r="B69" s="3" t="s">
        <v>66</v>
      </c>
      <c r="C69" s="4">
        <v>52548.49</v>
      </c>
      <c r="D69" s="4">
        <v>41016.75</v>
      </c>
    </row>
    <row r="70" spans="2:4" x14ac:dyDescent="0.35">
      <c r="B70" s="3" t="s">
        <v>67</v>
      </c>
      <c r="C70" s="4">
        <v>55601.84</v>
      </c>
      <c r="D70" s="4">
        <v>11044.3</v>
      </c>
    </row>
    <row r="71" spans="2:4" x14ac:dyDescent="0.35">
      <c r="B71" s="3" t="s">
        <v>68</v>
      </c>
      <c r="C71" s="4">
        <v>23923.93</v>
      </c>
      <c r="D71" s="4">
        <v>16537.849999999999</v>
      </c>
    </row>
    <row r="72" spans="2:4" x14ac:dyDescent="0.35">
      <c r="B72" s="3" t="s">
        <v>69</v>
      </c>
      <c r="C72" s="4">
        <v>5899.38</v>
      </c>
      <c r="D72" s="4">
        <v>25833.14</v>
      </c>
    </row>
    <row r="73" spans="2:4" x14ac:dyDescent="0.35">
      <c r="B73" s="3" t="s">
        <v>70</v>
      </c>
      <c r="C73" s="4">
        <v>58793.53</v>
      </c>
      <c r="D73" s="4">
        <v>58841.35</v>
      </c>
    </row>
    <row r="74" spans="2:4" x14ac:dyDescent="0.35">
      <c r="B74" s="3" t="s">
        <v>71</v>
      </c>
      <c r="C74" s="4">
        <v>32260.16</v>
      </c>
      <c r="D74" s="4">
        <v>36798.879999999997</v>
      </c>
    </row>
    <row r="75" spans="2:4" x14ac:dyDescent="0.35">
      <c r="B75" s="3" t="s">
        <v>72</v>
      </c>
      <c r="C75" s="4">
        <v>55425.77</v>
      </c>
      <c r="D75" s="4">
        <v>10223.83</v>
      </c>
    </row>
    <row r="76" spans="2:4" x14ac:dyDescent="0.35">
      <c r="B76" s="3" t="s">
        <v>73</v>
      </c>
      <c r="C76" s="4">
        <v>4424.3999999999996</v>
      </c>
      <c r="D76" s="4">
        <v>51152.86</v>
      </c>
    </row>
    <row r="77" spans="2:4" x14ac:dyDescent="0.35">
      <c r="B77" s="3" t="s">
        <v>74</v>
      </c>
      <c r="C77" s="4">
        <v>15183.63</v>
      </c>
      <c r="D77" s="4">
        <v>47177.59</v>
      </c>
    </row>
    <row r="78" spans="2:4" x14ac:dyDescent="0.35">
      <c r="B78" s="3" t="s">
        <v>75</v>
      </c>
      <c r="C78" s="4">
        <v>16212.59</v>
      </c>
      <c r="D78" s="4">
        <v>32723.040000000001</v>
      </c>
    </row>
    <row r="79" spans="2:4" x14ac:dyDescent="0.35">
      <c r="B79" s="3" t="s">
        <v>76</v>
      </c>
      <c r="C79" s="4">
        <v>45352.47</v>
      </c>
      <c r="D79" s="4">
        <v>16901.38</v>
      </c>
    </row>
    <row r="80" spans="2:4" x14ac:dyDescent="0.35">
      <c r="B80" s="3" t="s">
        <v>77</v>
      </c>
      <c r="C80" s="4">
        <v>22997.45</v>
      </c>
      <c r="D80" s="4">
        <v>16909.84</v>
      </c>
    </row>
    <row r="81" spans="2:4" x14ac:dyDescent="0.35">
      <c r="B81" s="3" t="s">
        <v>78</v>
      </c>
      <c r="C81" s="4">
        <v>13920.26</v>
      </c>
      <c r="D81" s="4">
        <v>16700.47</v>
      </c>
    </row>
    <row r="82" spans="2:4" x14ac:dyDescent="0.35">
      <c r="B82" s="3" t="s">
        <v>79</v>
      </c>
      <c r="C82" s="4">
        <v>37723.79</v>
      </c>
      <c r="D82" s="4">
        <v>52151.81</v>
      </c>
    </row>
    <row r="83" spans="2:4" x14ac:dyDescent="0.35">
      <c r="B83" s="3" t="s">
        <v>80</v>
      </c>
      <c r="C83" s="4">
        <v>37527.58</v>
      </c>
      <c r="D83" s="4">
        <v>29284.42</v>
      </c>
    </row>
    <row r="84" spans="2:4" x14ac:dyDescent="0.35">
      <c r="B84" s="3" t="s">
        <v>81</v>
      </c>
      <c r="C84" s="4">
        <v>1128.2</v>
      </c>
      <c r="D84" s="4">
        <v>1627.56</v>
      </c>
    </row>
    <row r="85" spans="2:4" x14ac:dyDescent="0.35">
      <c r="B85" s="3" t="s">
        <v>82</v>
      </c>
      <c r="C85" s="4">
        <v>6419.84</v>
      </c>
      <c r="D85" s="4">
        <v>35826.33</v>
      </c>
    </row>
    <row r="86" spans="2:4" x14ac:dyDescent="0.35">
      <c r="B86" s="3" t="s">
        <v>83</v>
      </c>
      <c r="C86" s="4">
        <v>49614.720000000001</v>
      </c>
      <c r="D86" s="4">
        <v>39712.1</v>
      </c>
    </row>
    <row r="87" spans="2:4" x14ac:dyDescent="0.35">
      <c r="B87" s="3" t="s">
        <v>84</v>
      </c>
      <c r="C87" s="4">
        <v>48809.9</v>
      </c>
      <c r="D87" s="4">
        <v>44167.09</v>
      </c>
    </row>
    <row r="88" spans="2:4" x14ac:dyDescent="0.35">
      <c r="B88" s="3" t="s">
        <v>85</v>
      </c>
      <c r="C88" s="4">
        <v>12573.28</v>
      </c>
      <c r="D88" s="4">
        <v>29997.09</v>
      </c>
    </row>
    <row r="89" spans="2:4" x14ac:dyDescent="0.35">
      <c r="B89" s="3" t="s">
        <v>86</v>
      </c>
      <c r="C89" s="4">
        <v>33347.879999999997</v>
      </c>
      <c r="D89" s="4">
        <v>32641.98</v>
      </c>
    </row>
    <row r="90" spans="2:4" x14ac:dyDescent="0.35">
      <c r="B90" s="3" t="s">
        <v>87</v>
      </c>
      <c r="C90" s="4">
        <v>35806.730000000003</v>
      </c>
      <c r="D90" s="4">
        <v>24013.52</v>
      </c>
    </row>
    <row r="91" spans="2:4" x14ac:dyDescent="0.35">
      <c r="B91" s="3" t="s">
        <v>88</v>
      </c>
      <c r="C91" s="4">
        <v>37455.769999999997</v>
      </c>
      <c r="D91" s="4">
        <v>29429.14</v>
      </c>
    </row>
    <row r="92" spans="2:4" x14ac:dyDescent="0.35">
      <c r="B92" s="3" t="s">
        <v>89</v>
      </c>
      <c r="C92" s="4">
        <v>28394.54</v>
      </c>
      <c r="D92" s="4">
        <v>29716.86</v>
      </c>
    </row>
    <row r="93" spans="2:4" x14ac:dyDescent="0.35">
      <c r="B93" s="3" t="s">
        <v>90</v>
      </c>
      <c r="C93" s="4">
        <v>32239.47</v>
      </c>
      <c r="D93" s="4">
        <v>38139.18</v>
      </c>
    </row>
    <row r="94" spans="2:4" x14ac:dyDescent="0.35">
      <c r="B94" s="3" t="s">
        <v>91</v>
      </c>
      <c r="C94" s="4">
        <v>50743.65</v>
      </c>
      <c r="D94" s="4">
        <v>38675.129999999997</v>
      </c>
    </row>
    <row r="95" spans="2:4" x14ac:dyDescent="0.35">
      <c r="B95" s="3" t="s">
        <v>92</v>
      </c>
      <c r="C95" s="4">
        <v>31102.85</v>
      </c>
      <c r="D95" s="4">
        <v>7178.66</v>
      </c>
    </row>
    <row r="96" spans="2:4" x14ac:dyDescent="0.35">
      <c r="B96" s="3" t="s">
        <v>93</v>
      </c>
      <c r="C96" s="4">
        <v>16753.3</v>
      </c>
      <c r="D96" s="4">
        <v>42798.080000000002</v>
      </c>
    </row>
    <row r="97" spans="2:4" x14ac:dyDescent="0.35">
      <c r="B97" s="3" t="s">
        <v>94</v>
      </c>
      <c r="C97" s="4">
        <v>48927.64</v>
      </c>
      <c r="D97" s="4">
        <v>22037.91</v>
      </c>
    </row>
    <row r="98" spans="2:4" x14ac:dyDescent="0.35">
      <c r="B98" s="3" t="s">
        <v>95</v>
      </c>
      <c r="C98" s="4">
        <v>61234.67</v>
      </c>
      <c r="D98" s="4">
        <v>27988.47</v>
      </c>
    </row>
    <row r="99" spans="2:4" x14ac:dyDescent="0.35">
      <c r="B99" s="3" t="s">
        <v>96</v>
      </c>
      <c r="C99" s="4">
        <v>34341.08</v>
      </c>
      <c r="D99" s="4">
        <v>37602.480000000003</v>
      </c>
    </row>
    <row r="100" spans="2:4" x14ac:dyDescent="0.35">
      <c r="B100" s="3" t="s">
        <v>97</v>
      </c>
      <c r="C100" s="4">
        <v>3879.96</v>
      </c>
      <c r="D100" s="4">
        <v>50342.74</v>
      </c>
    </row>
    <row r="101" spans="2:4" x14ac:dyDescent="0.35">
      <c r="B101" s="3" t="s">
        <v>98</v>
      </c>
      <c r="C101" s="4">
        <v>45443.54</v>
      </c>
      <c r="D101" s="4">
        <v>23908.240000000002</v>
      </c>
    </row>
    <row r="102" spans="2:4" x14ac:dyDescent="0.35">
      <c r="B102" s="3" t="s">
        <v>99</v>
      </c>
      <c r="C102" s="4">
        <v>61402</v>
      </c>
      <c r="D102" s="4">
        <v>47375.92</v>
      </c>
    </row>
    <row r="103" spans="2:4" x14ac:dyDescent="0.35">
      <c r="B103" s="3" t="s">
        <v>100</v>
      </c>
      <c r="C103" s="4">
        <v>22602.36</v>
      </c>
      <c r="D103" s="4">
        <v>5494.78</v>
      </c>
    </row>
    <row r="104" spans="2:4" x14ac:dyDescent="0.35">
      <c r="B104" s="3" t="s">
        <v>101</v>
      </c>
      <c r="C104" s="4">
        <v>16799.03</v>
      </c>
      <c r="D104" s="4">
        <v>7674.94</v>
      </c>
    </row>
    <row r="105" spans="2:4" x14ac:dyDescent="0.35">
      <c r="B105" s="3" t="s">
        <v>102</v>
      </c>
      <c r="C105" s="4">
        <v>36070.47</v>
      </c>
      <c r="D105" s="4">
        <v>7678.25</v>
      </c>
    </row>
  </sheetData>
  <mergeCells count="1">
    <mergeCell ref="B3:D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B05A5F-4E75-4450-ABB7-962489E6E8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first_orders_analysis</vt:lpstr>
      <vt:lpstr>Pivot Tables</vt:lpstr>
      <vt:lpstr>Charts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</dc:creator>
  <cp:lastModifiedBy>Daniel S</cp:lastModifiedBy>
  <dcterms:created xsi:type="dcterms:W3CDTF">2026-02-28T23:23:00Z</dcterms:created>
  <dcterms:modified xsi:type="dcterms:W3CDTF">2026-03-02T04:47:25Z</dcterms:modified>
</cp:coreProperties>
</file>